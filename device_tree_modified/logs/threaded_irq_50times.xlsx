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상돈\공부\debugging_linux_kernel\"/>
    </mc:Choice>
  </mc:AlternateContent>
  <xr:revisionPtr revIDLastSave="0" documentId="13_ncr:1_{EC22E66E-1B9C-4ADB-942B-708B037744A0}" xr6:coauthVersionLast="47" xr6:coauthVersionMax="47" xr10:uidLastSave="{00000000-0000-0000-0000-000000000000}"/>
  <bookViews>
    <workbookView xWindow="-120" yWindow="-120" windowWidth="29040" windowHeight="15840" xr2:uid="{B32AFC0F-A824-4ABA-B66C-27478BD0197B}"/>
  </bookViews>
  <sheets>
    <sheet name="Sheet1" sheetId="1" r:id="rId1"/>
  </sheets>
  <definedNames>
    <definedName name="_xlnm._FilterDatabase" localSheetId="0" hidden="1">Sheet1!$A$1:$F$154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54" i="1" l="1"/>
  <c r="L151" i="1"/>
  <c r="L148" i="1"/>
  <c r="L145" i="1"/>
  <c r="L142" i="1"/>
  <c r="L139" i="1"/>
  <c r="L136" i="1"/>
  <c r="L133" i="1"/>
  <c r="L130" i="1"/>
  <c r="L127" i="1"/>
  <c r="L124" i="1"/>
  <c r="L121" i="1"/>
  <c r="L118" i="1"/>
  <c r="L115" i="1"/>
  <c r="L112" i="1"/>
  <c r="L109" i="1"/>
  <c r="L106" i="1"/>
  <c r="L103" i="1"/>
  <c r="L100" i="1"/>
  <c r="L97" i="1"/>
  <c r="L94" i="1"/>
  <c r="L91" i="1"/>
  <c r="L88" i="1"/>
  <c r="L85" i="1"/>
  <c r="L82" i="1"/>
  <c r="L79" i="1"/>
  <c r="L76" i="1"/>
  <c r="L73" i="1"/>
  <c r="L70" i="1"/>
  <c r="L67" i="1"/>
  <c r="L64" i="1"/>
  <c r="L61" i="1"/>
  <c r="L58" i="1"/>
  <c r="L55" i="1"/>
  <c r="L52" i="1"/>
  <c r="L49" i="1"/>
  <c r="L46" i="1"/>
  <c r="L43" i="1"/>
  <c r="L40" i="1"/>
  <c r="L37" i="1"/>
  <c r="L34" i="1"/>
  <c r="L31" i="1"/>
  <c r="L28" i="1"/>
  <c r="L25" i="1"/>
  <c r="L22" i="1"/>
  <c r="L19" i="1"/>
  <c r="L16" i="1"/>
  <c r="L13" i="1"/>
  <c r="L10" i="1"/>
  <c r="L7" i="1"/>
  <c r="L4" i="1"/>
  <c r="E3" i="1" l="1"/>
  <c r="E4" i="1"/>
  <c r="E5" i="1"/>
  <c r="E6" i="1"/>
  <c r="E7" i="1"/>
  <c r="K7" i="1" s="1"/>
  <c r="E8" i="1"/>
  <c r="E9" i="1"/>
  <c r="E10" i="1"/>
  <c r="K10" i="1" s="1"/>
  <c r="E11" i="1"/>
  <c r="E12" i="1"/>
  <c r="E13" i="1"/>
  <c r="E14" i="1"/>
  <c r="E15" i="1"/>
  <c r="E16" i="1"/>
  <c r="E17" i="1"/>
  <c r="E18" i="1"/>
  <c r="E19" i="1"/>
  <c r="K19" i="1" s="1"/>
  <c r="E20" i="1"/>
  <c r="E21" i="1"/>
  <c r="E22" i="1"/>
  <c r="E23" i="1"/>
  <c r="E24" i="1"/>
  <c r="E25" i="1"/>
  <c r="E26" i="1"/>
  <c r="E27" i="1"/>
  <c r="E28" i="1"/>
  <c r="K28" i="1" s="1"/>
  <c r="E29" i="1"/>
  <c r="E30" i="1"/>
  <c r="E31" i="1"/>
  <c r="K31" i="1" s="1"/>
  <c r="E32" i="1"/>
  <c r="E33" i="1"/>
  <c r="E34" i="1"/>
  <c r="E35" i="1"/>
  <c r="E36" i="1"/>
  <c r="E37" i="1"/>
  <c r="E38" i="1"/>
  <c r="E39" i="1"/>
  <c r="E40" i="1"/>
  <c r="K40" i="1" s="1"/>
  <c r="E41" i="1"/>
  <c r="E42" i="1"/>
  <c r="E43" i="1"/>
  <c r="K43" i="1" s="1"/>
  <c r="E44" i="1"/>
  <c r="E45" i="1"/>
  <c r="E46" i="1"/>
  <c r="E47" i="1"/>
  <c r="E48" i="1"/>
  <c r="E49" i="1"/>
  <c r="E50" i="1"/>
  <c r="E51" i="1"/>
  <c r="E52" i="1"/>
  <c r="K52" i="1" s="1"/>
  <c r="E53" i="1"/>
  <c r="E54" i="1"/>
  <c r="E55" i="1"/>
  <c r="K55" i="1" s="1"/>
  <c r="E56" i="1"/>
  <c r="E57" i="1"/>
  <c r="E58" i="1"/>
  <c r="K58" i="1" s="1"/>
  <c r="E59" i="1"/>
  <c r="E60" i="1"/>
  <c r="E61" i="1"/>
  <c r="K61" i="1" s="1"/>
  <c r="E62" i="1"/>
  <c r="E63" i="1"/>
  <c r="E64" i="1"/>
  <c r="E65" i="1"/>
  <c r="E66" i="1"/>
  <c r="E67" i="1"/>
  <c r="K67" i="1" s="1"/>
  <c r="E68" i="1"/>
  <c r="E69" i="1"/>
  <c r="E70" i="1"/>
  <c r="E71" i="1"/>
  <c r="E72" i="1"/>
  <c r="E73" i="1"/>
  <c r="E74" i="1"/>
  <c r="E75" i="1"/>
  <c r="E76" i="1"/>
  <c r="K76" i="1" s="1"/>
  <c r="E77" i="1"/>
  <c r="E78" i="1"/>
  <c r="E79" i="1"/>
  <c r="K79" i="1" s="1"/>
  <c r="E80" i="1"/>
  <c r="E81" i="1"/>
  <c r="E82" i="1"/>
  <c r="E83" i="1"/>
  <c r="E84" i="1"/>
  <c r="E85" i="1"/>
  <c r="E86" i="1"/>
  <c r="E87" i="1"/>
  <c r="E88" i="1"/>
  <c r="K88" i="1" s="1"/>
  <c r="E89" i="1"/>
  <c r="E90" i="1"/>
  <c r="E91" i="1"/>
  <c r="K91" i="1" s="1"/>
  <c r="E92" i="1"/>
  <c r="E93" i="1"/>
  <c r="E94" i="1"/>
  <c r="E95" i="1"/>
  <c r="E96" i="1"/>
  <c r="E97" i="1"/>
  <c r="E98" i="1"/>
  <c r="E99" i="1"/>
  <c r="E100" i="1"/>
  <c r="K100" i="1" s="1"/>
  <c r="E101" i="1"/>
  <c r="E102" i="1"/>
  <c r="E103" i="1"/>
  <c r="K103" i="1" s="1"/>
  <c r="E104" i="1"/>
  <c r="E105" i="1"/>
  <c r="E106" i="1"/>
  <c r="K106" i="1" s="1"/>
  <c r="E107" i="1"/>
  <c r="E108" i="1"/>
  <c r="E109" i="1"/>
  <c r="K109" i="1" s="1"/>
  <c r="E110" i="1"/>
  <c r="E111" i="1"/>
  <c r="E112" i="1"/>
  <c r="E113" i="1"/>
  <c r="E114" i="1"/>
  <c r="E115" i="1"/>
  <c r="K115" i="1" s="1"/>
  <c r="E116" i="1"/>
  <c r="E117" i="1"/>
  <c r="E118" i="1"/>
  <c r="E119" i="1"/>
  <c r="E120" i="1"/>
  <c r="E121" i="1"/>
  <c r="E122" i="1"/>
  <c r="E123" i="1"/>
  <c r="E124" i="1"/>
  <c r="K124" i="1" s="1"/>
  <c r="E125" i="1"/>
  <c r="E126" i="1"/>
  <c r="E127" i="1"/>
  <c r="K127" i="1" s="1"/>
  <c r="E128" i="1"/>
  <c r="E129" i="1"/>
  <c r="E130" i="1"/>
  <c r="K130" i="1" s="1"/>
  <c r="E131" i="1"/>
  <c r="E132" i="1"/>
  <c r="E133" i="1"/>
  <c r="E134" i="1"/>
  <c r="E135" i="1"/>
  <c r="E136" i="1"/>
  <c r="K136" i="1" s="1"/>
  <c r="E137" i="1"/>
  <c r="E138" i="1"/>
  <c r="E139" i="1"/>
  <c r="K139" i="1" s="1"/>
  <c r="E140" i="1"/>
  <c r="E141" i="1"/>
  <c r="E142" i="1"/>
  <c r="K142" i="1" s="1"/>
  <c r="E143" i="1"/>
  <c r="E144" i="1"/>
  <c r="E145" i="1"/>
  <c r="E146" i="1"/>
  <c r="E147" i="1"/>
  <c r="E148" i="1"/>
  <c r="K148" i="1" s="1"/>
  <c r="E149" i="1"/>
  <c r="E150" i="1"/>
  <c r="E151" i="1"/>
  <c r="K151" i="1" s="1"/>
  <c r="E152" i="1"/>
  <c r="E153" i="1"/>
  <c r="E154" i="1"/>
  <c r="K154" i="1" s="1"/>
  <c r="E2" i="1"/>
  <c r="K94" i="1" l="1"/>
  <c r="K46" i="1"/>
  <c r="K121" i="1"/>
  <c r="K73" i="1"/>
  <c r="K25" i="1"/>
  <c r="K13" i="1"/>
  <c r="K118" i="1"/>
  <c r="K70" i="1"/>
  <c r="K22" i="1"/>
  <c r="K133" i="1"/>
  <c r="K85" i="1"/>
  <c r="K37" i="1"/>
  <c r="K4" i="1"/>
  <c r="K82" i="1"/>
  <c r="K34" i="1"/>
  <c r="K145" i="1"/>
  <c r="K97" i="1"/>
  <c r="K49" i="1"/>
  <c r="K112" i="1"/>
  <c r="K64" i="1"/>
  <c r="K16" i="1"/>
</calcChain>
</file>

<file path=xl/sharedStrings.xml><?xml version="1.0" encoding="utf-8"?>
<sst xmlns="http://schemas.openxmlformats.org/spreadsheetml/2006/main" count="767" uniqueCount="126">
  <si>
    <t>&lt;idle&gt;-0</t>
  </si>
  <si>
    <t>[000]</t>
  </si>
  <si>
    <t>d.h2</t>
  </si>
  <si>
    <t>gpio_demo_hard_isr &lt;-__handle_irq_event_percpu</t>
  </si>
  <si>
    <t>gpio_demo_hard_isr: gpio_demo_hard_isr enter</t>
  </si>
  <si>
    <t>....</t>
  </si>
  <si>
    <t>d.h1</t>
  </si>
  <si>
    <t>d.H2</t>
  </si>
  <si>
    <t>d.H1</t>
  </si>
  <si>
    <t>시간 차 (ms)</t>
    <phoneticPr fontId="1" type="noConversion"/>
  </si>
  <si>
    <t>평균</t>
    <phoneticPr fontId="1" type="noConversion"/>
  </si>
  <si>
    <t>4173.894531:</t>
  </si>
  <si>
    <t>irq/179-gpio_de-325</t>
  </si>
  <si>
    <t>4173.894745:</t>
  </si>
  <si>
    <t>gpio_demo_threaded_isr &lt;-irq_thread_fn</t>
  </si>
  <si>
    <t>4174.373383:</t>
  </si>
  <si>
    <t>4174.373596:</t>
  </si>
  <si>
    <t>kworker/u3:3-330</t>
  </si>
  <si>
    <t>4174.805267:</t>
  </si>
  <si>
    <t>4174.806427:</t>
  </si>
  <si>
    <t>4175.254761:</t>
  </si>
  <si>
    <t>4175.254883:</t>
  </si>
  <si>
    <t>4175.740784:</t>
  </si>
  <si>
    <t>4175.740906:</t>
  </si>
  <si>
    <t>4176.270569:</t>
  </si>
  <si>
    <t>4176.270782:</t>
  </si>
  <si>
    <t>4176.764282:</t>
  </si>
  <si>
    <t>4176.764587:</t>
  </si>
  <si>
    <t>4177.225159:</t>
  </si>
  <si>
    <t>4177.225433:</t>
  </si>
  <si>
    <t>4177.700531:</t>
  </si>
  <si>
    <t>4177.700806:</t>
  </si>
  <si>
    <t>4178.136230:</t>
  </si>
  <si>
    <t>4178.136444:</t>
  </si>
  <si>
    <t>4178.574982:</t>
  </si>
  <si>
    <t>4178.575012:</t>
  </si>
  <si>
    <t>4178.575195:</t>
  </si>
  <si>
    <t>4179.013184:</t>
  </si>
  <si>
    <t>4179.013367:</t>
  </si>
  <si>
    <t>4179.520996:</t>
  </si>
  <si>
    <t>4179.521027:</t>
  </si>
  <si>
    <t>4179.521210:</t>
  </si>
  <si>
    <t>4179.992737:</t>
  </si>
  <si>
    <t>4179.992981:</t>
  </si>
  <si>
    <t>4180.468262:</t>
  </si>
  <si>
    <t>4180.468292:</t>
  </si>
  <si>
    <t>4180.468536:</t>
  </si>
  <si>
    <t>4180.938416:</t>
  </si>
  <si>
    <t>4180.938629:</t>
  </si>
  <si>
    <t>4181.410828:</t>
  </si>
  <si>
    <t>4181.411041:</t>
  </si>
  <si>
    <t>4181.570068:</t>
  </si>
  <si>
    <t>4181.570190:</t>
  </si>
  <si>
    <t>4181.929291:</t>
  </si>
  <si>
    <t>4181.929321:</t>
  </si>
  <si>
    <t>4181.929535:</t>
  </si>
  <si>
    <t>4182.408264:</t>
  </si>
  <si>
    <t>4182.408478:</t>
  </si>
  <si>
    <t>4182.859131:</t>
  </si>
  <si>
    <t>4182.859375:</t>
  </si>
  <si>
    <t>4183.331543:</t>
  </si>
  <si>
    <t>4183.331573:</t>
  </si>
  <si>
    <t>4183.331757:</t>
  </si>
  <si>
    <t>systemd-journal-139</t>
  </si>
  <si>
    <t>4183.785004:</t>
  </si>
  <si>
    <t>4183.785126:</t>
  </si>
  <si>
    <t>4184.282410:</t>
  </si>
  <si>
    <t>4184.282623:</t>
  </si>
  <si>
    <t>4184.741943:</t>
  </si>
  <si>
    <t>4184.742157:</t>
  </si>
  <si>
    <t>4185.225708:</t>
  </si>
  <si>
    <t>4185.225922:</t>
  </si>
  <si>
    <t>4185.712433:</t>
  </si>
  <si>
    <t>4185.712646:</t>
  </si>
  <si>
    <t>4186.149445:</t>
  </si>
  <si>
    <t>4186.149658:</t>
  </si>
  <si>
    <t>4186.633453:</t>
  </si>
  <si>
    <t>4186.633484:</t>
  </si>
  <si>
    <t>4186.633667:</t>
  </si>
  <si>
    <t>4187.067810:</t>
  </si>
  <si>
    <t>4187.068024:</t>
  </si>
  <si>
    <t>kworker/u2:4-351</t>
  </si>
  <si>
    <t>4187.538361:</t>
  </si>
  <si>
    <t>4187.538483:</t>
  </si>
  <si>
    <t>4188.005035:</t>
  </si>
  <si>
    <t>4188.005249:</t>
  </si>
  <si>
    <t>4188.468323:</t>
  </si>
  <si>
    <t>4188.468506:</t>
  </si>
  <si>
    <t>4188.947418:</t>
  </si>
  <si>
    <t>4188.947632:</t>
  </si>
  <si>
    <t>4189.411041:</t>
  </si>
  <si>
    <t>4189.411072:</t>
  </si>
  <si>
    <t>4189.411285:</t>
  </si>
  <si>
    <t>4189.896423:</t>
  </si>
  <si>
    <t>4189.896637:</t>
  </si>
  <si>
    <t>4190.444000:</t>
  </si>
  <si>
    <t>4190.444214:</t>
  </si>
  <si>
    <t>4190.928772:</t>
  </si>
  <si>
    <t>4190.929016:</t>
  </si>
  <si>
    <t>4191.404144:</t>
  </si>
  <si>
    <t>4191.404358:</t>
  </si>
  <si>
    <t>4191.891907:</t>
  </si>
  <si>
    <t>4191.892120:</t>
  </si>
  <si>
    <t>4192.365051:</t>
  </si>
  <si>
    <t>4192.365417:</t>
  </si>
  <si>
    <t>4192.886322:</t>
  </si>
  <si>
    <t>4192.886536:</t>
  </si>
  <si>
    <t>4193.361481:</t>
  </si>
  <si>
    <t>4193.361755:</t>
  </si>
  <si>
    <t>4193.832764:</t>
  </si>
  <si>
    <t>4193.832947:</t>
  </si>
  <si>
    <t>4194.308502:</t>
  </si>
  <si>
    <t>4194.308655:</t>
  </si>
  <si>
    <t>4194.770813:</t>
  </si>
  <si>
    <t>4194.771027:</t>
  </si>
  <si>
    <t>4195.241882:</t>
  </si>
  <si>
    <t>4195.242096:</t>
  </si>
  <si>
    <t>4195.703369:</t>
  </si>
  <si>
    <t>4195.703400:</t>
  </si>
  <si>
    <t>4195.703613:</t>
  </si>
  <si>
    <t>4196.209015:</t>
  </si>
  <si>
    <t>4196.209259:</t>
  </si>
  <si>
    <t>4196.656342:</t>
  </si>
  <si>
    <t>4196.656555:</t>
  </si>
  <si>
    <t>4197.096161:</t>
  </si>
  <si>
    <t>4197.096436: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</si>
</sst>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threaded irq </a:t>
            </a:r>
            <a:r>
              <a:rPr lang="ko-KR"/>
              <a:t>실행 시간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시행 차수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Sheet1!$K$4:$K$154</c:f>
              <c:numCache>
                <c:formatCode>General</c:formatCode>
                <c:ptCount val="51"/>
                <c:pt idx="0">
                  <c:v>0.21399999968707561</c:v>
                </c:pt>
                <c:pt idx="1">
                  <c:v>0.21300000025803456</c:v>
                </c:pt>
                <c:pt idx="2">
                  <c:v>1.1600000007092603</c:v>
                </c:pt>
                <c:pt idx="3">
                  <c:v>0.12199999946460593</c:v>
                </c:pt>
                <c:pt idx="4">
                  <c:v>0.12200000037410064</c:v>
                </c:pt>
                <c:pt idx="5">
                  <c:v>0.21299999934853986</c:v>
                </c:pt>
                <c:pt idx="6">
                  <c:v>0.30499999957100954</c:v>
                </c:pt>
                <c:pt idx="7">
                  <c:v>0.27399999999033753</c:v>
                </c:pt>
                <c:pt idx="8">
                  <c:v>0.27499999941937858</c:v>
                </c:pt>
                <c:pt idx="9">
                  <c:v>0.21399999968707561</c:v>
                </c:pt>
                <c:pt idx="10">
                  <c:v>0.21300000025803456</c:v>
                </c:pt>
                <c:pt idx="11">
                  <c:v>0.1829999991969089</c:v>
                </c:pt>
                <c:pt idx="12">
                  <c:v>0.21399999968707561</c:v>
                </c:pt>
                <c:pt idx="13">
                  <c:v>0.24400000074820127</c:v>
                </c:pt>
                <c:pt idx="14">
                  <c:v>0.27399999999033753</c:v>
                </c:pt>
                <c:pt idx="15">
                  <c:v>0.21300000025803456</c:v>
                </c:pt>
                <c:pt idx="16">
                  <c:v>0.21300000025803456</c:v>
                </c:pt>
                <c:pt idx="17">
                  <c:v>0.12200000037410064</c:v>
                </c:pt>
                <c:pt idx="18">
                  <c:v>0.24399999983870657</c:v>
                </c:pt>
                <c:pt idx="19">
                  <c:v>0.21400000059657032</c:v>
                </c:pt>
                <c:pt idx="20">
                  <c:v>0.24399999983870657</c:v>
                </c:pt>
                <c:pt idx="21">
                  <c:v>0.21399999968707561</c:v>
                </c:pt>
                <c:pt idx="22">
                  <c:v>0.12199999946460593</c:v>
                </c:pt>
                <c:pt idx="23">
                  <c:v>0.21300000025803456</c:v>
                </c:pt>
                <c:pt idx="24">
                  <c:v>0.21399999968707561</c:v>
                </c:pt>
                <c:pt idx="25">
                  <c:v>0.21399999968707561</c:v>
                </c:pt>
                <c:pt idx="26">
                  <c:v>0.21300000025803456</c:v>
                </c:pt>
                <c:pt idx="27">
                  <c:v>0.21300000025803456</c:v>
                </c:pt>
                <c:pt idx="28">
                  <c:v>0.21399999968707561</c:v>
                </c:pt>
                <c:pt idx="29">
                  <c:v>0.21400000059657032</c:v>
                </c:pt>
                <c:pt idx="30">
                  <c:v>0.12200000037410064</c:v>
                </c:pt>
                <c:pt idx="31">
                  <c:v>0.21399999968707561</c:v>
                </c:pt>
                <c:pt idx="32">
                  <c:v>0.1830000001064036</c:v>
                </c:pt>
                <c:pt idx="33">
                  <c:v>0.21400000059657032</c:v>
                </c:pt>
                <c:pt idx="34">
                  <c:v>0.24399999983870657</c:v>
                </c:pt>
                <c:pt idx="35">
                  <c:v>0.21399999968707561</c:v>
                </c:pt>
                <c:pt idx="36">
                  <c:v>0.21399999968707561</c:v>
                </c:pt>
                <c:pt idx="37">
                  <c:v>0.24399999983870657</c:v>
                </c:pt>
                <c:pt idx="38">
                  <c:v>0.21399999968707561</c:v>
                </c:pt>
                <c:pt idx="39">
                  <c:v>0.21300000025803456</c:v>
                </c:pt>
                <c:pt idx="40">
                  <c:v>0.36600000021280721</c:v>
                </c:pt>
                <c:pt idx="41">
                  <c:v>0.21399999968707561</c:v>
                </c:pt>
                <c:pt idx="42">
                  <c:v>0.27399999999033753</c:v>
                </c:pt>
                <c:pt idx="43">
                  <c:v>0.1830000001064036</c:v>
                </c:pt>
                <c:pt idx="44">
                  <c:v>0.15299999995477265</c:v>
                </c:pt>
                <c:pt idx="45">
                  <c:v>0.21399999968707561</c:v>
                </c:pt>
                <c:pt idx="46">
                  <c:v>0.21399999968707561</c:v>
                </c:pt>
                <c:pt idx="47">
                  <c:v>0.24399999983870657</c:v>
                </c:pt>
                <c:pt idx="48">
                  <c:v>0.24399999983870657</c:v>
                </c:pt>
                <c:pt idx="49">
                  <c:v>0.21299999934853986</c:v>
                </c:pt>
                <c:pt idx="50">
                  <c:v>0.27499999941937858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0-4169-B0E5-5A005A8E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216271"/>
        <c:axId val="1048209615"/>
      </c:barChart>
      <c:lineChart>
        <c:grouping val="standard"/>
        <c:varyColors val="0"/>
        <c:ser>
          <c:idx val="1"/>
          <c:order val="1"/>
          <c:tx>
            <c:v>평균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Sheet1!$L$4:$L$154</c:f>
              <c:numCache>
                <c:formatCode>General</c:formatCode>
                <c:ptCount val="51"/>
                <c:pt idx="0">
                  <c:v>0.23511764699351795</c:v>
                </c:pt>
                <c:pt idx="1">
                  <c:v>0.23511764699351795</c:v>
                </c:pt>
                <c:pt idx="2">
                  <c:v>0.23511764699351795</c:v>
                </c:pt>
                <c:pt idx="3">
                  <c:v>0.23511764699351795</c:v>
                </c:pt>
                <c:pt idx="4">
                  <c:v>0.23511764699351795</c:v>
                </c:pt>
                <c:pt idx="5">
                  <c:v>0.23511764699351795</c:v>
                </c:pt>
                <c:pt idx="6">
                  <c:v>0.23511764699351795</c:v>
                </c:pt>
                <c:pt idx="7">
                  <c:v>0.23511764699351795</c:v>
                </c:pt>
                <c:pt idx="8">
                  <c:v>0.23511764699351795</c:v>
                </c:pt>
                <c:pt idx="9">
                  <c:v>0.23511764699351795</c:v>
                </c:pt>
                <c:pt idx="10">
                  <c:v>0.23511764699351795</c:v>
                </c:pt>
                <c:pt idx="11">
                  <c:v>0.23511764699351795</c:v>
                </c:pt>
                <c:pt idx="12">
                  <c:v>0.23511764699351795</c:v>
                </c:pt>
                <c:pt idx="13">
                  <c:v>0.23511764699351795</c:v>
                </c:pt>
                <c:pt idx="14">
                  <c:v>0.23511764699351795</c:v>
                </c:pt>
                <c:pt idx="15">
                  <c:v>0.23511764699351795</c:v>
                </c:pt>
                <c:pt idx="16">
                  <c:v>0.23511764699351795</c:v>
                </c:pt>
                <c:pt idx="17">
                  <c:v>0.23511764699351795</c:v>
                </c:pt>
                <c:pt idx="18">
                  <c:v>0.23511764699351795</c:v>
                </c:pt>
                <c:pt idx="19">
                  <c:v>0.23511764699351795</c:v>
                </c:pt>
                <c:pt idx="20">
                  <c:v>0.23511764699351795</c:v>
                </c:pt>
                <c:pt idx="21">
                  <c:v>0.23511764699351795</c:v>
                </c:pt>
                <c:pt idx="22">
                  <c:v>0.23511764699351795</c:v>
                </c:pt>
                <c:pt idx="23">
                  <c:v>0.23511764699351795</c:v>
                </c:pt>
                <c:pt idx="24">
                  <c:v>0.23511764699351795</c:v>
                </c:pt>
                <c:pt idx="25">
                  <c:v>0.23511764699351795</c:v>
                </c:pt>
                <c:pt idx="26">
                  <c:v>0.23511764699351795</c:v>
                </c:pt>
                <c:pt idx="27">
                  <c:v>0.23511764699351795</c:v>
                </c:pt>
                <c:pt idx="28">
                  <c:v>0.23511764699351795</c:v>
                </c:pt>
                <c:pt idx="29">
                  <c:v>0.23511764699351795</c:v>
                </c:pt>
                <c:pt idx="30">
                  <c:v>0.23511764699351795</c:v>
                </c:pt>
                <c:pt idx="31">
                  <c:v>0.23511764699351795</c:v>
                </c:pt>
                <c:pt idx="32">
                  <c:v>0.23511764699351795</c:v>
                </c:pt>
                <c:pt idx="33">
                  <c:v>0.23511764699351795</c:v>
                </c:pt>
                <c:pt idx="34">
                  <c:v>0.23511764699351795</c:v>
                </c:pt>
                <c:pt idx="35">
                  <c:v>0.23511764699351795</c:v>
                </c:pt>
                <c:pt idx="36">
                  <c:v>0.23511764699351795</c:v>
                </c:pt>
                <c:pt idx="37">
                  <c:v>0.23511764699351795</c:v>
                </c:pt>
                <c:pt idx="38">
                  <c:v>0.23511764699351795</c:v>
                </c:pt>
                <c:pt idx="39">
                  <c:v>0.23511764699351795</c:v>
                </c:pt>
                <c:pt idx="40">
                  <c:v>0.23511764699351795</c:v>
                </c:pt>
                <c:pt idx="41">
                  <c:v>0.23511764699351795</c:v>
                </c:pt>
                <c:pt idx="42">
                  <c:v>0.23511764699351795</c:v>
                </c:pt>
                <c:pt idx="43">
                  <c:v>0.23511764699351795</c:v>
                </c:pt>
                <c:pt idx="44">
                  <c:v>0.23511764699351795</c:v>
                </c:pt>
                <c:pt idx="45">
                  <c:v>0.23511764699351795</c:v>
                </c:pt>
                <c:pt idx="46">
                  <c:v>0.23511764699351795</c:v>
                </c:pt>
                <c:pt idx="47">
                  <c:v>0.23511764699351795</c:v>
                </c:pt>
                <c:pt idx="48">
                  <c:v>0.23511764699351795</c:v>
                </c:pt>
                <c:pt idx="49">
                  <c:v>0.23511764699351795</c:v>
                </c:pt>
                <c:pt idx="50">
                  <c:v>0.23511764699351795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0-4169-B0E5-5A005A8E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216271"/>
        <c:axId val="1048209615"/>
      </c:lineChart>
      <c:catAx>
        <c:axId val="104821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시행 차수</a:t>
                </a:r>
                <a:endParaRPr lang="en-US" alt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209615"/>
        <c:crosses val="autoZero"/>
        <c:auto val="1"/>
        <c:lblAlgn val="ctr"/>
        <c:lblOffset val="100"/>
        <c:noMultiLvlLbl val="0"/>
      </c:catAx>
      <c:valAx>
        <c:axId val="10482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단위 </a:t>
                </a:r>
                <a:r>
                  <a:rPr lang="en-US" altLang="ko-KR"/>
                  <a:t>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21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600074</xdr:colOff>
      <xdr:row>3</xdr:row>
      <xdr:rowOff>166686</xdr:rowOff>
    </xdr:from>
    <xdr:to>
      <xdr:col>21</xdr:col>
      <xdr:colOff>223874</xdr:colOff>
      <xdr:row>61</xdr:row>
      <xdr:rowOff>7686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21FD9C1-9E44-4A4F-A441-E70FBB131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FE14-A64D-4D88-B469-11D4DE244766}">
  <sheetPr filterMode="1"/>
  <dimension ref="A1:L155"/>
  <sheetViews>
    <sheetView tabSelected="1" topLeftCell="D1" workbookViewId="0">
      <selection activeCell="R73" sqref="R73"/>
    </sheetView>
  </sheetViews>
  <sheetFormatPr defaultRowHeight="16.5" x14ac:dyDescent="0.3"/>
  <cols>
    <col min="1" max="1" width="19.75" bestFit="1" customWidth="1"/>
    <col min="2" max="2" width="35" bestFit="1" customWidth="1"/>
    <col min="3" max="3" width="25.625" bestFit="1" customWidth="1"/>
    <col min="4" max="4" width="24.75" bestFit="1" customWidth="1"/>
    <col min="5" max="5" width="15.875" customWidth="1"/>
    <col min="11" max="11" width="18.37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9</v>
      </c>
      <c r="L1" s="1" t="s">
        <v>10</v>
      </c>
    </row>
    <row r="2" spans="1:12" hidden="1" x14ac:dyDescent="0.3">
      <c r="A2" t="s">
        <v>0</v>
      </c>
      <c r="B2" t="s">
        <v>1</v>
      </c>
      <c r="C2" t="s">
        <v>2</v>
      </c>
      <c r="D2" t="s">
        <v>11</v>
      </c>
      <c r="E2" t="str">
        <f xml:space="preserve"> LEFT(D2, FIND(":",D2)-1)</f>
        <v>4173.894531</v>
      </c>
      <c r="F2" t="s">
        <v>3</v>
      </c>
    </row>
    <row r="3" spans="1:12" hidden="1" x14ac:dyDescent="0.3">
      <c r="A3" t="s">
        <v>0</v>
      </c>
      <c r="B3" t="s">
        <v>1</v>
      </c>
      <c r="C3" t="s">
        <v>2</v>
      </c>
      <c r="D3" t="s">
        <v>11</v>
      </c>
      <c r="E3" t="str">
        <f t="shared" ref="E3:E66" si="0" xml:space="preserve"> LEFT(D3, FIND(":",D3)-1)</f>
        <v>4173.894531</v>
      </c>
      <c r="F3" t="s">
        <v>4</v>
      </c>
    </row>
    <row r="4" spans="1:12" s="3" customFormat="1" x14ac:dyDescent="0.3">
      <c r="A4" s="2" t="s">
        <v>12</v>
      </c>
      <c r="B4" s="2" t="s">
        <v>1</v>
      </c>
      <c r="C4" s="2" t="s">
        <v>5</v>
      </c>
      <c r="D4" s="2" t="s">
        <v>13</v>
      </c>
      <c r="E4" s="2" t="str">
        <f t="shared" si="0"/>
        <v>4173.894745</v>
      </c>
      <c r="F4" s="2" t="s">
        <v>14</v>
      </c>
      <c r="G4" s="2"/>
      <c r="H4" s="2"/>
      <c r="I4" s="2"/>
      <c r="J4" s="2"/>
      <c r="K4" s="2">
        <f>(E4-E2)*1000</f>
        <v>0.21399999968707561</v>
      </c>
      <c r="L4" s="2">
        <f>AVERAGE($K$4:$K$154)</f>
        <v>0.23511764699351795</v>
      </c>
    </row>
    <row r="5" spans="1:12" hidden="1" x14ac:dyDescent="0.3">
      <c r="A5" t="s">
        <v>0</v>
      </c>
      <c r="B5" t="s">
        <v>1</v>
      </c>
      <c r="C5" t="s">
        <v>2</v>
      </c>
      <c r="D5" t="s">
        <v>15</v>
      </c>
      <c r="E5" t="str">
        <f t="shared" si="0"/>
        <v>4174.373383</v>
      </c>
      <c r="F5" t="s">
        <v>3</v>
      </c>
    </row>
    <row r="6" spans="1:12" hidden="1" x14ac:dyDescent="0.3">
      <c r="A6" t="s">
        <v>0</v>
      </c>
      <c r="B6" t="s">
        <v>1</v>
      </c>
      <c r="C6" t="s">
        <v>2</v>
      </c>
      <c r="D6" t="s">
        <v>15</v>
      </c>
      <c r="E6" t="str">
        <f t="shared" si="0"/>
        <v>4174.373383</v>
      </c>
      <c r="F6" t="s">
        <v>4</v>
      </c>
    </row>
    <row r="7" spans="1:12" s="3" customFormat="1" x14ac:dyDescent="0.3">
      <c r="A7" s="2" t="s">
        <v>12</v>
      </c>
      <c r="B7" s="2" t="s">
        <v>1</v>
      </c>
      <c r="C7" s="2" t="s">
        <v>5</v>
      </c>
      <c r="D7" s="2" t="s">
        <v>16</v>
      </c>
      <c r="E7" s="2" t="str">
        <f t="shared" si="0"/>
        <v>4174.373596</v>
      </c>
      <c r="F7" s="2" t="s">
        <v>14</v>
      </c>
      <c r="G7" s="2"/>
      <c r="H7" s="2"/>
      <c r="I7" s="2"/>
      <c r="J7" s="2"/>
      <c r="K7" s="2">
        <f>(E7-E5)*1000</f>
        <v>0.21300000025803456</v>
      </c>
      <c r="L7" s="2">
        <f>AVERAGE($K$4:$K$154)</f>
        <v>0.23511764699351795</v>
      </c>
    </row>
    <row r="8" spans="1:12" hidden="1" x14ac:dyDescent="0.3">
      <c r="A8" t="s">
        <v>17</v>
      </c>
      <c r="B8" t="s">
        <v>1</v>
      </c>
      <c r="C8" t="s">
        <v>7</v>
      </c>
      <c r="D8" t="s">
        <v>18</v>
      </c>
      <c r="E8" t="str">
        <f t="shared" si="0"/>
        <v>4174.805267</v>
      </c>
      <c r="F8" t="s">
        <v>3</v>
      </c>
    </row>
    <row r="9" spans="1:12" hidden="1" x14ac:dyDescent="0.3">
      <c r="A9" t="s">
        <v>17</v>
      </c>
      <c r="B9" t="s">
        <v>1</v>
      </c>
      <c r="C9" t="s">
        <v>7</v>
      </c>
      <c r="D9" t="s">
        <v>18</v>
      </c>
      <c r="E9" t="str">
        <f t="shared" si="0"/>
        <v>4174.805267</v>
      </c>
      <c r="F9" t="s">
        <v>4</v>
      </c>
    </row>
    <row r="10" spans="1:12" x14ac:dyDescent="0.3">
      <c r="A10" s="2" t="s">
        <v>12</v>
      </c>
      <c r="B10" s="2" t="s">
        <v>1</v>
      </c>
      <c r="C10" s="2" t="s">
        <v>5</v>
      </c>
      <c r="D10" s="2" t="s">
        <v>19</v>
      </c>
      <c r="E10" s="2" t="str">
        <f t="shared" si="0"/>
        <v>4174.806427</v>
      </c>
      <c r="F10" s="2" t="s">
        <v>14</v>
      </c>
      <c r="G10" s="2"/>
      <c r="H10" s="2"/>
      <c r="I10" s="2"/>
      <c r="J10" s="2"/>
      <c r="K10" s="2">
        <f>(E10-E8)*1000</f>
        <v>1.1600000007092603</v>
      </c>
      <c r="L10" s="2">
        <f>AVERAGE($K$4:$K$154)</f>
        <v>0.23511764699351795</v>
      </c>
    </row>
    <row r="11" spans="1:12" hidden="1" x14ac:dyDescent="0.3">
      <c r="A11" t="s">
        <v>0</v>
      </c>
      <c r="B11" t="s">
        <v>1</v>
      </c>
      <c r="C11" t="s">
        <v>2</v>
      </c>
      <c r="D11" t="s">
        <v>20</v>
      </c>
      <c r="E11" t="str">
        <f t="shared" si="0"/>
        <v>4175.254761</v>
      </c>
      <c r="F11" t="s">
        <v>3</v>
      </c>
    </row>
    <row r="12" spans="1:12" hidden="1" x14ac:dyDescent="0.3">
      <c r="A12" t="s">
        <v>0</v>
      </c>
      <c r="B12" t="s">
        <v>1</v>
      </c>
      <c r="C12" t="s">
        <v>2</v>
      </c>
      <c r="D12" t="s">
        <v>20</v>
      </c>
      <c r="E12" t="str">
        <f t="shared" si="0"/>
        <v>4175.254761</v>
      </c>
      <c r="F12" t="s">
        <v>4</v>
      </c>
    </row>
    <row r="13" spans="1:12" x14ac:dyDescent="0.3">
      <c r="A13" s="2" t="s">
        <v>12</v>
      </c>
      <c r="B13" s="2" t="s">
        <v>1</v>
      </c>
      <c r="C13" s="2" t="s">
        <v>5</v>
      </c>
      <c r="D13" s="2" t="s">
        <v>21</v>
      </c>
      <c r="E13" s="2" t="str">
        <f t="shared" si="0"/>
        <v>4175.254883</v>
      </c>
      <c r="F13" s="2" t="s">
        <v>14</v>
      </c>
      <c r="G13" s="2"/>
      <c r="H13" s="2"/>
      <c r="I13" s="2"/>
      <c r="J13" s="2"/>
      <c r="K13" s="2">
        <f>(E13-E11)*1000</f>
        <v>0.12199999946460593</v>
      </c>
      <c r="L13" s="2">
        <f>AVERAGE($K$4:$K$154)</f>
        <v>0.23511764699351795</v>
      </c>
    </row>
    <row r="14" spans="1:12" hidden="1" x14ac:dyDescent="0.3">
      <c r="A14" t="s">
        <v>0</v>
      </c>
      <c r="B14" t="s">
        <v>1</v>
      </c>
      <c r="C14" t="s">
        <v>2</v>
      </c>
      <c r="D14" t="s">
        <v>22</v>
      </c>
      <c r="E14" t="str">
        <f t="shared" si="0"/>
        <v>4175.740784</v>
      </c>
      <c r="F14" t="s">
        <v>3</v>
      </c>
    </row>
    <row r="15" spans="1:12" hidden="1" x14ac:dyDescent="0.3">
      <c r="A15" t="s">
        <v>0</v>
      </c>
      <c r="B15" t="s">
        <v>1</v>
      </c>
      <c r="C15" t="s">
        <v>2</v>
      </c>
      <c r="D15" t="s">
        <v>22</v>
      </c>
      <c r="E15" t="str">
        <f t="shared" si="0"/>
        <v>4175.740784</v>
      </c>
      <c r="F15" t="s">
        <v>4</v>
      </c>
    </row>
    <row r="16" spans="1:12" x14ac:dyDescent="0.3">
      <c r="A16" s="2" t="s">
        <v>12</v>
      </c>
      <c r="B16" s="2" t="s">
        <v>1</v>
      </c>
      <c r="C16" s="2" t="s">
        <v>5</v>
      </c>
      <c r="D16" s="2" t="s">
        <v>23</v>
      </c>
      <c r="E16" s="2" t="str">
        <f t="shared" si="0"/>
        <v>4175.740906</v>
      </c>
      <c r="F16" s="2" t="s">
        <v>14</v>
      </c>
      <c r="G16" s="2"/>
      <c r="H16" s="2"/>
      <c r="I16" s="2"/>
      <c r="J16" s="2"/>
      <c r="K16" s="2">
        <f>(E16-E14)*1000</f>
        <v>0.12200000037410064</v>
      </c>
      <c r="L16" s="2">
        <f>AVERAGE($K$4:$K$154)</f>
        <v>0.23511764699351795</v>
      </c>
    </row>
    <row r="17" spans="1:12" hidden="1" x14ac:dyDescent="0.3">
      <c r="A17" t="s">
        <v>0</v>
      </c>
      <c r="B17" t="s">
        <v>1</v>
      </c>
      <c r="C17" t="s">
        <v>2</v>
      </c>
      <c r="D17" t="s">
        <v>24</v>
      </c>
      <c r="E17" t="str">
        <f t="shared" si="0"/>
        <v>4176.270569</v>
      </c>
      <c r="F17" t="s">
        <v>3</v>
      </c>
    </row>
    <row r="18" spans="1:12" hidden="1" x14ac:dyDescent="0.3">
      <c r="A18" t="s">
        <v>0</v>
      </c>
      <c r="B18" t="s">
        <v>1</v>
      </c>
      <c r="C18" t="s">
        <v>2</v>
      </c>
      <c r="D18" t="s">
        <v>24</v>
      </c>
      <c r="E18" t="str">
        <f t="shared" si="0"/>
        <v>4176.270569</v>
      </c>
      <c r="F18" t="s">
        <v>4</v>
      </c>
    </row>
    <row r="19" spans="1:12" x14ac:dyDescent="0.3">
      <c r="A19" s="2" t="s">
        <v>12</v>
      </c>
      <c r="B19" s="2" t="s">
        <v>1</v>
      </c>
      <c r="C19" s="2" t="s">
        <v>5</v>
      </c>
      <c r="D19" s="2" t="s">
        <v>25</v>
      </c>
      <c r="E19" s="2" t="str">
        <f t="shared" si="0"/>
        <v>4176.270782</v>
      </c>
      <c r="F19" s="2" t="s">
        <v>14</v>
      </c>
      <c r="G19" s="2"/>
      <c r="H19" s="2"/>
      <c r="I19" s="2"/>
      <c r="J19" s="2"/>
      <c r="K19" s="2">
        <f>(E19-E17)*1000</f>
        <v>0.21299999934853986</v>
      </c>
      <c r="L19" s="2">
        <f>AVERAGE($K$4:$K$154)</f>
        <v>0.23511764699351795</v>
      </c>
    </row>
    <row r="20" spans="1:12" hidden="1" x14ac:dyDescent="0.3">
      <c r="A20" t="s">
        <v>0</v>
      </c>
      <c r="B20" t="s">
        <v>1</v>
      </c>
      <c r="C20" t="s">
        <v>2</v>
      </c>
      <c r="D20" t="s">
        <v>26</v>
      </c>
      <c r="E20" t="str">
        <f t="shared" si="0"/>
        <v>4176.764282</v>
      </c>
      <c r="F20" t="s">
        <v>3</v>
      </c>
    </row>
    <row r="21" spans="1:12" hidden="1" x14ac:dyDescent="0.3">
      <c r="A21" t="s">
        <v>0</v>
      </c>
      <c r="B21" t="s">
        <v>1</v>
      </c>
      <c r="C21" t="s">
        <v>2</v>
      </c>
      <c r="D21" t="s">
        <v>26</v>
      </c>
      <c r="E21" t="str">
        <f t="shared" si="0"/>
        <v>4176.764282</v>
      </c>
      <c r="F21" t="s">
        <v>4</v>
      </c>
    </row>
    <row r="22" spans="1:12" x14ac:dyDescent="0.3">
      <c r="A22" s="2" t="s">
        <v>12</v>
      </c>
      <c r="B22" s="2" t="s">
        <v>1</v>
      </c>
      <c r="C22" s="2" t="s">
        <v>5</v>
      </c>
      <c r="D22" s="2" t="s">
        <v>27</v>
      </c>
      <c r="E22" s="2" t="str">
        <f t="shared" si="0"/>
        <v>4176.764587</v>
      </c>
      <c r="F22" s="2" t="s">
        <v>14</v>
      </c>
      <c r="G22" s="2"/>
      <c r="H22" s="2"/>
      <c r="I22" s="2"/>
      <c r="J22" s="2"/>
      <c r="K22" s="2">
        <f>(E22-E20)*1000</f>
        <v>0.30499999957100954</v>
      </c>
      <c r="L22" s="2">
        <f>AVERAGE($K$4:$K$154)</f>
        <v>0.23511764699351795</v>
      </c>
    </row>
    <row r="23" spans="1:12" hidden="1" x14ac:dyDescent="0.3">
      <c r="A23" t="s">
        <v>0</v>
      </c>
      <c r="B23" t="s">
        <v>1</v>
      </c>
      <c r="C23" t="s">
        <v>2</v>
      </c>
      <c r="D23" t="s">
        <v>28</v>
      </c>
      <c r="E23" t="str">
        <f t="shared" si="0"/>
        <v>4177.225159</v>
      </c>
      <c r="F23" t="s">
        <v>3</v>
      </c>
    </row>
    <row r="24" spans="1:12" hidden="1" x14ac:dyDescent="0.3">
      <c r="A24" t="s">
        <v>0</v>
      </c>
      <c r="B24" t="s">
        <v>1</v>
      </c>
      <c r="C24" t="s">
        <v>2</v>
      </c>
      <c r="D24" t="s">
        <v>28</v>
      </c>
      <c r="E24" t="str">
        <f t="shared" si="0"/>
        <v>4177.225159</v>
      </c>
      <c r="F24" t="s">
        <v>4</v>
      </c>
    </row>
    <row r="25" spans="1:12" x14ac:dyDescent="0.3">
      <c r="A25" s="2" t="s">
        <v>12</v>
      </c>
      <c r="B25" s="2" t="s">
        <v>1</v>
      </c>
      <c r="C25" s="2" t="s">
        <v>5</v>
      </c>
      <c r="D25" s="2" t="s">
        <v>29</v>
      </c>
      <c r="E25" s="2" t="str">
        <f t="shared" si="0"/>
        <v>4177.225433</v>
      </c>
      <c r="F25" s="2" t="s">
        <v>14</v>
      </c>
      <c r="G25" s="2"/>
      <c r="H25" s="2"/>
      <c r="I25" s="2"/>
      <c r="J25" s="2"/>
      <c r="K25" s="2">
        <f>(E25-E23)*1000</f>
        <v>0.27399999999033753</v>
      </c>
      <c r="L25" s="2">
        <f>AVERAGE($K$4:$K$154)</f>
        <v>0.23511764699351795</v>
      </c>
    </row>
    <row r="26" spans="1:12" hidden="1" x14ac:dyDescent="0.3">
      <c r="A26" t="s">
        <v>0</v>
      </c>
      <c r="B26" t="s">
        <v>1</v>
      </c>
      <c r="C26" t="s">
        <v>2</v>
      </c>
      <c r="D26" t="s">
        <v>30</v>
      </c>
      <c r="E26" t="str">
        <f t="shared" si="0"/>
        <v>4177.700531</v>
      </c>
      <c r="F26" t="s">
        <v>3</v>
      </c>
    </row>
    <row r="27" spans="1:12" hidden="1" x14ac:dyDescent="0.3">
      <c r="A27" t="s">
        <v>0</v>
      </c>
      <c r="B27" t="s">
        <v>1</v>
      </c>
      <c r="C27" t="s">
        <v>2</v>
      </c>
      <c r="D27" t="s">
        <v>30</v>
      </c>
      <c r="E27" t="str">
        <f t="shared" si="0"/>
        <v>4177.700531</v>
      </c>
      <c r="F27" t="s">
        <v>4</v>
      </c>
    </row>
    <row r="28" spans="1:12" x14ac:dyDescent="0.3">
      <c r="A28" s="2" t="s">
        <v>12</v>
      </c>
      <c r="B28" s="2" t="s">
        <v>1</v>
      </c>
      <c r="C28" s="2" t="s">
        <v>5</v>
      </c>
      <c r="D28" s="2" t="s">
        <v>31</v>
      </c>
      <c r="E28" s="2" t="str">
        <f t="shared" si="0"/>
        <v>4177.700806</v>
      </c>
      <c r="F28" s="2" t="s">
        <v>14</v>
      </c>
      <c r="G28" s="2"/>
      <c r="H28" s="2"/>
      <c r="I28" s="2"/>
      <c r="J28" s="2"/>
      <c r="K28" s="2">
        <f>(E28-E26)*1000</f>
        <v>0.27499999941937858</v>
      </c>
      <c r="L28" s="2">
        <f>AVERAGE($K$4:$K$154)</f>
        <v>0.23511764699351795</v>
      </c>
    </row>
    <row r="29" spans="1:12" hidden="1" x14ac:dyDescent="0.3">
      <c r="A29" t="s">
        <v>0</v>
      </c>
      <c r="B29" t="s">
        <v>1</v>
      </c>
      <c r="C29" t="s">
        <v>2</v>
      </c>
      <c r="D29" t="s">
        <v>32</v>
      </c>
      <c r="E29" t="str">
        <f t="shared" si="0"/>
        <v>4178.136230</v>
      </c>
      <c r="F29" t="s">
        <v>3</v>
      </c>
    </row>
    <row r="30" spans="1:12" hidden="1" x14ac:dyDescent="0.3">
      <c r="A30" t="s">
        <v>0</v>
      </c>
      <c r="B30" t="s">
        <v>1</v>
      </c>
      <c r="C30" t="s">
        <v>2</v>
      </c>
      <c r="D30" t="s">
        <v>32</v>
      </c>
      <c r="E30" t="str">
        <f t="shared" si="0"/>
        <v>4178.136230</v>
      </c>
      <c r="F30" t="s">
        <v>4</v>
      </c>
    </row>
    <row r="31" spans="1:12" x14ac:dyDescent="0.3">
      <c r="A31" s="2" t="s">
        <v>12</v>
      </c>
      <c r="B31" s="2" t="s">
        <v>1</v>
      </c>
      <c r="C31" s="2" t="s">
        <v>5</v>
      </c>
      <c r="D31" s="2" t="s">
        <v>33</v>
      </c>
      <c r="E31" s="2" t="str">
        <f t="shared" si="0"/>
        <v>4178.136444</v>
      </c>
      <c r="F31" s="2" t="s">
        <v>14</v>
      </c>
      <c r="G31" s="2"/>
      <c r="H31" s="2"/>
      <c r="I31" s="2"/>
      <c r="J31" s="2"/>
      <c r="K31" s="2">
        <f>(E31-E29)*1000</f>
        <v>0.21399999968707561</v>
      </c>
      <c r="L31" s="2">
        <f>AVERAGE($K$4:$K$154)</f>
        <v>0.23511764699351795</v>
      </c>
    </row>
    <row r="32" spans="1:12" hidden="1" x14ac:dyDescent="0.3">
      <c r="A32" t="s">
        <v>0</v>
      </c>
      <c r="B32" t="s">
        <v>1</v>
      </c>
      <c r="C32" t="s">
        <v>2</v>
      </c>
      <c r="D32" t="s">
        <v>34</v>
      </c>
      <c r="E32" t="str">
        <f t="shared" si="0"/>
        <v>4178.574982</v>
      </c>
      <c r="F32" t="s">
        <v>3</v>
      </c>
    </row>
    <row r="33" spans="1:12" hidden="1" x14ac:dyDescent="0.3">
      <c r="A33" t="s">
        <v>0</v>
      </c>
      <c r="B33" t="s">
        <v>1</v>
      </c>
      <c r="C33" t="s">
        <v>2</v>
      </c>
      <c r="D33" t="s">
        <v>35</v>
      </c>
      <c r="E33" t="str">
        <f t="shared" si="0"/>
        <v>4178.575012</v>
      </c>
      <c r="F33" t="s">
        <v>4</v>
      </c>
    </row>
    <row r="34" spans="1:12" x14ac:dyDescent="0.3">
      <c r="A34" s="2" t="s">
        <v>12</v>
      </c>
      <c r="B34" s="2" t="s">
        <v>1</v>
      </c>
      <c r="C34" s="2" t="s">
        <v>5</v>
      </c>
      <c r="D34" s="2" t="s">
        <v>36</v>
      </c>
      <c r="E34" s="2" t="str">
        <f t="shared" si="0"/>
        <v>4178.575195</v>
      </c>
      <c r="F34" s="2" t="s">
        <v>14</v>
      </c>
      <c r="G34" s="2"/>
      <c r="H34" s="2"/>
      <c r="I34" s="2"/>
      <c r="J34" s="2"/>
      <c r="K34" s="2">
        <f>(E34-E32)*1000</f>
        <v>0.21300000025803456</v>
      </c>
      <c r="L34" s="2">
        <f>AVERAGE($K$4:$K$154)</f>
        <v>0.23511764699351795</v>
      </c>
    </row>
    <row r="35" spans="1:12" hidden="1" x14ac:dyDescent="0.3">
      <c r="A35" t="s">
        <v>0</v>
      </c>
      <c r="B35" t="s">
        <v>1</v>
      </c>
      <c r="C35" t="s">
        <v>2</v>
      </c>
      <c r="D35" t="s">
        <v>37</v>
      </c>
      <c r="E35" t="str">
        <f t="shared" si="0"/>
        <v>4179.013184</v>
      </c>
      <c r="F35" t="s">
        <v>3</v>
      </c>
    </row>
    <row r="36" spans="1:12" hidden="1" x14ac:dyDescent="0.3">
      <c r="A36" t="s">
        <v>0</v>
      </c>
      <c r="B36" t="s">
        <v>1</v>
      </c>
      <c r="C36" t="s">
        <v>2</v>
      </c>
      <c r="D36" t="s">
        <v>37</v>
      </c>
      <c r="E36" t="str">
        <f t="shared" si="0"/>
        <v>4179.013184</v>
      </c>
      <c r="F36" t="s">
        <v>4</v>
      </c>
    </row>
    <row r="37" spans="1:12" x14ac:dyDescent="0.3">
      <c r="A37" s="2" t="s">
        <v>12</v>
      </c>
      <c r="B37" s="2" t="s">
        <v>1</v>
      </c>
      <c r="C37" s="2" t="s">
        <v>5</v>
      </c>
      <c r="D37" s="2" t="s">
        <v>38</v>
      </c>
      <c r="E37" s="2" t="str">
        <f t="shared" si="0"/>
        <v>4179.013367</v>
      </c>
      <c r="F37" s="2" t="s">
        <v>14</v>
      </c>
      <c r="G37" s="2"/>
      <c r="H37" s="2"/>
      <c r="I37" s="2"/>
      <c r="J37" s="2"/>
      <c r="K37" s="2">
        <f>(E37-E35)*1000</f>
        <v>0.1829999991969089</v>
      </c>
      <c r="L37" s="2">
        <f>AVERAGE($K$4:$K$154)</f>
        <v>0.23511764699351795</v>
      </c>
    </row>
    <row r="38" spans="1:12" hidden="1" x14ac:dyDescent="0.3">
      <c r="A38" t="s">
        <v>0</v>
      </c>
      <c r="B38" t="s">
        <v>1</v>
      </c>
      <c r="C38" t="s">
        <v>2</v>
      </c>
      <c r="D38" t="s">
        <v>39</v>
      </c>
      <c r="E38" t="str">
        <f t="shared" si="0"/>
        <v>4179.520996</v>
      </c>
      <c r="F38" t="s">
        <v>3</v>
      </c>
    </row>
    <row r="39" spans="1:12" hidden="1" x14ac:dyDescent="0.3">
      <c r="A39" t="s">
        <v>0</v>
      </c>
      <c r="B39" t="s">
        <v>1</v>
      </c>
      <c r="C39" t="s">
        <v>2</v>
      </c>
      <c r="D39" t="s">
        <v>40</v>
      </c>
      <c r="E39" t="str">
        <f t="shared" si="0"/>
        <v>4179.521027</v>
      </c>
      <c r="F39" t="s">
        <v>4</v>
      </c>
    </row>
    <row r="40" spans="1:12" x14ac:dyDescent="0.3">
      <c r="A40" s="2" t="s">
        <v>12</v>
      </c>
      <c r="B40" s="2" t="s">
        <v>1</v>
      </c>
      <c r="C40" s="2" t="s">
        <v>5</v>
      </c>
      <c r="D40" s="2" t="s">
        <v>41</v>
      </c>
      <c r="E40" s="2" t="str">
        <f t="shared" si="0"/>
        <v>4179.521210</v>
      </c>
      <c r="F40" s="2" t="s">
        <v>14</v>
      </c>
      <c r="G40" s="2"/>
      <c r="H40" s="2"/>
      <c r="I40" s="2"/>
      <c r="J40" s="2"/>
      <c r="K40" s="2">
        <f>(E40-E38)*1000</f>
        <v>0.21399999968707561</v>
      </c>
      <c r="L40" s="2">
        <f>AVERAGE($K$4:$K$154)</f>
        <v>0.23511764699351795</v>
      </c>
    </row>
    <row r="41" spans="1:12" hidden="1" x14ac:dyDescent="0.3">
      <c r="A41" t="s">
        <v>0</v>
      </c>
      <c r="B41" t="s">
        <v>1</v>
      </c>
      <c r="C41" t="s">
        <v>2</v>
      </c>
      <c r="D41" t="s">
        <v>42</v>
      </c>
      <c r="E41" t="str">
        <f t="shared" si="0"/>
        <v>4179.992737</v>
      </c>
      <c r="F41" t="s">
        <v>3</v>
      </c>
    </row>
    <row r="42" spans="1:12" hidden="1" x14ac:dyDescent="0.3">
      <c r="A42" t="s">
        <v>0</v>
      </c>
      <c r="B42" t="s">
        <v>1</v>
      </c>
      <c r="C42" t="s">
        <v>2</v>
      </c>
      <c r="D42" t="s">
        <v>42</v>
      </c>
      <c r="E42" t="str">
        <f t="shared" si="0"/>
        <v>4179.992737</v>
      </c>
      <c r="F42" t="s">
        <v>4</v>
      </c>
    </row>
    <row r="43" spans="1:12" x14ac:dyDescent="0.3">
      <c r="A43" s="2" t="s">
        <v>12</v>
      </c>
      <c r="B43" s="2" t="s">
        <v>1</v>
      </c>
      <c r="C43" s="2" t="s">
        <v>5</v>
      </c>
      <c r="D43" s="2" t="s">
        <v>43</v>
      </c>
      <c r="E43" s="2" t="str">
        <f t="shared" si="0"/>
        <v>4179.992981</v>
      </c>
      <c r="F43" s="2" t="s">
        <v>14</v>
      </c>
      <c r="G43" s="2"/>
      <c r="H43" s="2"/>
      <c r="I43" s="2"/>
      <c r="J43" s="2"/>
      <c r="K43" s="2">
        <f>(E43-E41)*1000</f>
        <v>0.24400000074820127</v>
      </c>
      <c r="L43" s="2">
        <f>AVERAGE($K$4:$K$154)</f>
        <v>0.23511764699351795</v>
      </c>
    </row>
    <row r="44" spans="1:12" hidden="1" x14ac:dyDescent="0.3">
      <c r="A44" t="s">
        <v>0</v>
      </c>
      <c r="B44" t="s">
        <v>1</v>
      </c>
      <c r="C44" t="s">
        <v>2</v>
      </c>
      <c r="D44" t="s">
        <v>44</v>
      </c>
      <c r="E44" t="str">
        <f t="shared" si="0"/>
        <v>4180.468262</v>
      </c>
      <c r="F44" t="s">
        <v>3</v>
      </c>
    </row>
    <row r="45" spans="1:12" hidden="1" x14ac:dyDescent="0.3">
      <c r="A45" t="s">
        <v>0</v>
      </c>
      <c r="B45" t="s">
        <v>1</v>
      </c>
      <c r="C45" t="s">
        <v>2</v>
      </c>
      <c r="D45" t="s">
        <v>45</v>
      </c>
      <c r="E45" t="str">
        <f t="shared" si="0"/>
        <v>4180.468292</v>
      </c>
      <c r="F45" t="s">
        <v>4</v>
      </c>
    </row>
    <row r="46" spans="1:12" x14ac:dyDescent="0.3">
      <c r="A46" s="2" t="s">
        <v>12</v>
      </c>
      <c r="B46" s="2" t="s">
        <v>1</v>
      </c>
      <c r="C46" s="2" t="s">
        <v>5</v>
      </c>
      <c r="D46" s="2" t="s">
        <v>46</v>
      </c>
      <c r="E46" s="2" t="str">
        <f t="shared" si="0"/>
        <v>4180.468536</v>
      </c>
      <c r="F46" s="2" t="s">
        <v>14</v>
      </c>
      <c r="G46" s="2"/>
      <c r="H46" s="2"/>
      <c r="I46" s="2"/>
      <c r="J46" s="2"/>
      <c r="K46" s="2">
        <f>(E46-E44)*1000</f>
        <v>0.27399999999033753</v>
      </c>
      <c r="L46" s="2">
        <f>AVERAGE($K$4:$K$154)</f>
        <v>0.23511764699351795</v>
      </c>
    </row>
    <row r="47" spans="1:12" hidden="1" x14ac:dyDescent="0.3">
      <c r="A47" t="s">
        <v>0</v>
      </c>
      <c r="B47" t="s">
        <v>1</v>
      </c>
      <c r="C47" t="s">
        <v>2</v>
      </c>
      <c r="D47" t="s">
        <v>47</v>
      </c>
      <c r="E47" t="str">
        <f t="shared" si="0"/>
        <v>4180.938416</v>
      </c>
      <c r="F47" t="s">
        <v>3</v>
      </c>
    </row>
    <row r="48" spans="1:12" hidden="1" x14ac:dyDescent="0.3">
      <c r="A48" t="s">
        <v>0</v>
      </c>
      <c r="B48" t="s">
        <v>1</v>
      </c>
      <c r="C48" t="s">
        <v>2</v>
      </c>
      <c r="D48" t="s">
        <v>47</v>
      </c>
      <c r="E48" t="str">
        <f t="shared" si="0"/>
        <v>4180.938416</v>
      </c>
      <c r="F48" t="s">
        <v>4</v>
      </c>
    </row>
    <row r="49" spans="1:12" x14ac:dyDescent="0.3">
      <c r="A49" s="2" t="s">
        <v>12</v>
      </c>
      <c r="B49" s="2" t="s">
        <v>1</v>
      </c>
      <c r="C49" s="2" t="s">
        <v>5</v>
      </c>
      <c r="D49" s="2" t="s">
        <v>48</v>
      </c>
      <c r="E49" s="2" t="str">
        <f t="shared" si="0"/>
        <v>4180.938629</v>
      </c>
      <c r="F49" s="2" t="s">
        <v>14</v>
      </c>
      <c r="G49" s="2"/>
      <c r="H49" s="2"/>
      <c r="I49" s="2"/>
      <c r="J49" s="2"/>
      <c r="K49" s="2">
        <f>(E49-E47)*1000</f>
        <v>0.21300000025803456</v>
      </c>
      <c r="L49" s="2">
        <f>AVERAGE($K$4:$K$154)</f>
        <v>0.23511764699351795</v>
      </c>
    </row>
    <row r="50" spans="1:12" hidden="1" x14ac:dyDescent="0.3">
      <c r="A50" t="s">
        <v>0</v>
      </c>
      <c r="B50" t="s">
        <v>1</v>
      </c>
      <c r="C50" t="s">
        <v>2</v>
      </c>
      <c r="D50" t="s">
        <v>49</v>
      </c>
      <c r="E50" t="str">
        <f t="shared" si="0"/>
        <v>4181.410828</v>
      </c>
      <c r="F50" t="s">
        <v>3</v>
      </c>
    </row>
    <row r="51" spans="1:12" hidden="1" x14ac:dyDescent="0.3">
      <c r="A51" t="s">
        <v>0</v>
      </c>
      <c r="B51" t="s">
        <v>1</v>
      </c>
      <c r="C51" t="s">
        <v>2</v>
      </c>
      <c r="D51" t="s">
        <v>49</v>
      </c>
      <c r="E51" t="str">
        <f t="shared" si="0"/>
        <v>4181.410828</v>
      </c>
      <c r="F51" t="s">
        <v>4</v>
      </c>
    </row>
    <row r="52" spans="1:12" x14ac:dyDescent="0.3">
      <c r="A52" s="2" t="s">
        <v>12</v>
      </c>
      <c r="B52" s="2" t="s">
        <v>1</v>
      </c>
      <c r="C52" s="2" t="s">
        <v>5</v>
      </c>
      <c r="D52" s="2" t="s">
        <v>50</v>
      </c>
      <c r="E52" s="2" t="str">
        <f t="shared" si="0"/>
        <v>4181.411041</v>
      </c>
      <c r="F52" s="2" t="s">
        <v>14</v>
      </c>
      <c r="G52" s="2"/>
      <c r="H52" s="2"/>
      <c r="I52" s="2"/>
      <c r="J52" s="2"/>
      <c r="K52" s="2">
        <f>(E52-E50)*1000</f>
        <v>0.21300000025803456</v>
      </c>
      <c r="L52" s="2">
        <f>AVERAGE($K$4:$K$154)</f>
        <v>0.23511764699351795</v>
      </c>
    </row>
    <row r="53" spans="1:12" hidden="1" x14ac:dyDescent="0.3">
      <c r="A53" t="s">
        <v>0</v>
      </c>
      <c r="B53" t="s">
        <v>1</v>
      </c>
      <c r="C53" t="s">
        <v>2</v>
      </c>
      <c r="D53" t="s">
        <v>51</v>
      </c>
      <c r="E53" t="str">
        <f t="shared" si="0"/>
        <v>4181.570068</v>
      </c>
      <c r="F53" t="s">
        <v>3</v>
      </c>
    </row>
    <row r="54" spans="1:12" hidden="1" x14ac:dyDescent="0.3">
      <c r="A54" t="s">
        <v>0</v>
      </c>
      <c r="B54" t="s">
        <v>1</v>
      </c>
      <c r="C54" t="s">
        <v>2</v>
      </c>
      <c r="D54" t="s">
        <v>51</v>
      </c>
      <c r="E54" t="str">
        <f t="shared" si="0"/>
        <v>4181.570068</v>
      </c>
      <c r="F54" t="s">
        <v>4</v>
      </c>
    </row>
    <row r="55" spans="1:12" x14ac:dyDescent="0.3">
      <c r="A55" s="2" t="s">
        <v>12</v>
      </c>
      <c r="B55" s="2" t="s">
        <v>1</v>
      </c>
      <c r="C55" s="2" t="s">
        <v>5</v>
      </c>
      <c r="D55" s="2" t="s">
        <v>52</v>
      </c>
      <c r="E55" s="2" t="str">
        <f t="shared" si="0"/>
        <v>4181.570190</v>
      </c>
      <c r="F55" s="2" t="s">
        <v>14</v>
      </c>
      <c r="G55" s="2"/>
      <c r="H55" s="2"/>
      <c r="I55" s="2"/>
      <c r="J55" s="2"/>
      <c r="K55" s="2">
        <f>(E55-E53)*1000</f>
        <v>0.12200000037410064</v>
      </c>
      <c r="L55" s="2">
        <f>AVERAGE($K$4:$K$154)</f>
        <v>0.23511764699351795</v>
      </c>
    </row>
    <row r="56" spans="1:12" hidden="1" x14ac:dyDescent="0.3">
      <c r="A56" t="s">
        <v>0</v>
      </c>
      <c r="B56" t="s">
        <v>1</v>
      </c>
      <c r="C56" t="s">
        <v>2</v>
      </c>
      <c r="D56" t="s">
        <v>53</v>
      </c>
      <c r="E56" t="str">
        <f t="shared" si="0"/>
        <v>4181.929291</v>
      </c>
      <c r="F56" t="s">
        <v>3</v>
      </c>
    </row>
    <row r="57" spans="1:12" hidden="1" x14ac:dyDescent="0.3">
      <c r="A57" t="s">
        <v>0</v>
      </c>
      <c r="B57" t="s">
        <v>1</v>
      </c>
      <c r="C57" t="s">
        <v>2</v>
      </c>
      <c r="D57" t="s">
        <v>54</v>
      </c>
      <c r="E57" t="str">
        <f t="shared" si="0"/>
        <v>4181.929321</v>
      </c>
      <c r="F57" t="s">
        <v>4</v>
      </c>
    </row>
    <row r="58" spans="1:12" x14ac:dyDescent="0.3">
      <c r="A58" s="2" t="s">
        <v>12</v>
      </c>
      <c r="B58" s="2" t="s">
        <v>1</v>
      </c>
      <c r="C58" s="2" t="s">
        <v>5</v>
      </c>
      <c r="D58" s="2" t="s">
        <v>55</v>
      </c>
      <c r="E58" s="2" t="str">
        <f t="shared" si="0"/>
        <v>4181.929535</v>
      </c>
      <c r="F58" s="2" t="s">
        <v>14</v>
      </c>
      <c r="G58" s="2"/>
      <c r="H58" s="2"/>
      <c r="I58" s="2"/>
      <c r="J58" s="2"/>
      <c r="K58" s="2">
        <f>(E58-E56)*1000</f>
        <v>0.24399999983870657</v>
      </c>
      <c r="L58" s="2">
        <f>AVERAGE($K$4:$K$154)</f>
        <v>0.23511764699351795</v>
      </c>
    </row>
    <row r="59" spans="1:12" hidden="1" x14ac:dyDescent="0.3">
      <c r="A59" t="s">
        <v>0</v>
      </c>
      <c r="B59" t="s">
        <v>1</v>
      </c>
      <c r="C59" t="s">
        <v>2</v>
      </c>
      <c r="D59" t="s">
        <v>56</v>
      </c>
      <c r="E59" t="str">
        <f t="shared" si="0"/>
        <v>4182.408264</v>
      </c>
      <c r="F59" t="s">
        <v>3</v>
      </c>
    </row>
    <row r="60" spans="1:12" hidden="1" x14ac:dyDescent="0.3">
      <c r="A60" t="s">
        <v>0</v>
      </c>
      <c r="B60" t="s">
        <v>1</v>
      </c>
      <c r="C60" t="s">
        <v>2</v>
      </c>
      <c r="D60" t="s">
        <v>56</v>
      </c>
      <c r="E60" t="str">
        <f t="shared" si="0"/>
        <v>4182.408264</v>
      </c>
      <c r="F60" t="s">
        <v>4</v>
      </c>
    </row>
    <row r="61" spans="1:12" x14ac:dyDescent="0.3">
      <c r="A61" s="2" t="s">
        <v>12</v>
      </c>
      <c r="B61" s="2" t="s">
        <v>1</v>
      </c>
      <c r="C61" s="2" t="s">
        <v>5</v>
      </c>
      <c r="D61" s="2" t="s">
        <v>57</v>
      </c>
      <c r="E61" s="2" t="str">
        <f t="shared" si="0"/>
        <v>4182.408478</v>
      </c>
      <c r="F61" s="2" t="s">
        <v>14</v>
      </c>
      <c r="G61" s="2"/>
      <c r="H61" s="2"/>
      <c r="I61" s="2"/>
      <c r="J61" s="2"/>
      <c r="K61" s="2">
        <f>(E61-E59)*1000</f>
        <v>0.21400000059657032</v>
      </c>
      <c r="L61" s="2">
        <f>AVERAGE($K$4:$K$154)</f>
        <v>0.23511764699351795</v>
      </c>
    </row>
    <row r="62" spans="1:12" hidden="1" x14ac:dyDescent="0.3">
      <c r="A62" t="s">
        <v>0</v>
      </c>
      <c r="B62" t="s">
        <v>1</v>
      </c>
      <c r="C62" t="s">
        <v>2</v>
      </c>
      <c r="D62" t="s">
        <v>58</v>
      </c>
      <c r="E62" t="str">
        <f t="shared" si="0"/>
        <v>4182.859131</v>
      </c>
      <c r="F62" t="s">
        <v>3</v>
      </c>
    </row>
    <row r="63" spans="1:12" hidden="1" x14ac:dyDescent="0.3">
      <c r="A63" t="s">
        <v>0</v>
      </c>
      <c r="B63" t="s">
        <v>1</v>
      </c>
      <c r="C63" t="s">
        <v>2</v>
      </c>
      <c r="D63" t="s">
        <v>58</v>
      </c>
      <c r="E63" t="str">
        <f t="shared" si="0"/>
        <v>4182.859131</v>
      </c>
      <c r="F63" t="s">
        <v>4</v>
      </c>
    </row>
    <row r="64" spans="1:12" x14ac:dyDescent="0.3">
      <c r="A64" s="2" t="s">
        <v>12</v>
      </c>
      <c r="B64" s="2" t="s">
        <v>1</v>
      </c>
      <c r="C64" s="2" t="s">
        <v>5</v>
      </c>
      <c r="D64" s="2" t="s">
        <v>59</v>
      </c>
      <c r="E64" s="2" t="str">
        <f t="shared" si="0"/>
        <v>4182.859375</v>
      </c>
      <c r="F64" s="2" t="s">
        <v>14</v>
      </c>
      <c r="G64" s="2"/>
      <c r="H64" s="2"/>
      <c r="I64" s="2"/>
      <c r="J64" s="2"/>
      <c r="K64" s="2">
        <f>(E64-E62)*1000</f>
        <v>0.24399999983870657</v>
      </c>
      <c r="L64" s="2">
        <f>AVERAGE($K$4:$K$154)</f>
        <v>0.23511764699351795</v>
      </c>
    </row>
    <row r="65" spans="1:12" hidden="1" x14ac:dyDescent="0.3">
      <c r="A65" t="s">
        <v>0</v>
      </c>
      <c r="B65" t="s">
        <v>1</v>
      </c>
      <c r="C65" t="s">
        <v>2</v>
      </c>
      <c r="D65" t="s">
        <v>60</v>
      </c>
      <c r="E65" t="str">
        <f t="shared" si="0"/>
        <v>4183.331543</v>
      </c>
      <c r="F65" t="s">
        <v>3</v>
      </c>
    </row>
    <row r="66" spans="1:12" hidden="1" x14ac:dyDescent="0.3">
      <c r="A66" t="s">
        <v>0</v>
      </c>
      <c r="B66" t="s">
        <v>1</v>
      </c>
      <c r="C66" t="s">
        <v>2</v>
      </c>
      <c r="D66" t="s">
        <v>61</v>
      </c>
      <c r="E66" t="str">
        <f t="shared" si="0"/>
        <v>4183.331573</v>
      </c>
      <c r="F66" t="s">
        <v>4</v>
      </c>
    </row>
    <row r="67" spans="1:12" x14ac:dyDescent="0.3">
      <c r="A67" s="2" t="s">
        <v>12</v>
      </c>
      <c r="B67" s="2" t="s">
        <v>1</v>
      </c>
      <c r="C67" s="2" t="s">
        <v>5</v>
      </c>
      <c r="D67" s="2" t="s">
        <v>62</v>
      </c>
      <c r="E67" s="2" t="str">
        <f t="shared" ref="E67:E130" si="1" xml:space="preserve"> LEFT(D67, FIND(":",D67)-1)</f>
        <v>4183.331757</v>
      </c>
      <c r="F67" s="2" t="s">
        <v>14</v>
      </c>
      <c r="G67" s="2"/>
      <c r="H67" s="2"/>
      <c r="I67" s="2"/>
      <c r="J67" s="2"/>
      <c r="K67" s="2">
        <f>(E67-E65)*1000</f>
        <v>0.21399999968707561</v>
      </c>
      <c r="L67" s="2">
        <f>AVERAGE($K$4:$K$154)</f>
        <v>0.23511764699351795</v>
      </c>
    </row>
    <row r="68" spans="1:12" hidden="1" x14ac:dyDescent="0.3">
      <c r="A68" t="s">
        <v>63</v>
      </c>
      <c r="B68" t="s">
        <v>1</v>
      </c>
      <c r="C68" t="s">
        <v>8</v>
      </c>
      <c r="D68" t="s">
        <v>64</v>
      </c>
      <c r="E68" t="str">
        <f t="shared" si="1"/>
        <v>4183.785004</v>
      </c>
      <c r="F68" t="s">
        <v>3</v>
      </c>
    </row>
    <row r="69" spans="1:12" hidden="1" x14ac:dyDescent="0.3">
      <c r="A69" t="s">
        <v>63</v>
      </c>
      <c r="B69" t="s">
        <v>1</v>
      </c>
      <c r="C69" t="s">
        <v>8</v>
      </c>
      <c r="D69" t="s">
        <v>64</v>
      </c>
      <c r="E69" t="str">
        <f t="shared" si="1"/>
        <v>4183.785004</v>
      </c>
      <c r="F69" t="s">
        <v>4</v>
      </c>
    </row>
    <row r="70" spans="1:12" x14ac:dyDescent="0.3">
      <c r="A70" s="2" t="s">
        <v>12</v>
      </c>
      <c r="B70" s="2" t="s">
        <v>1</v>
      </c>
      <c r="C70" s="2" t="s">
        <v>5</v>
      </c>
      <c r="D70" s="2" t="s">
        <v>65</v>
      </c>
      <c r="E70" s="2" t="str">
        <f t="shared" si="1"/>
        <v>4183.785126</v>
      </c>
      <c r="F70" s="2" t="s">
        <v>14</v>
      </c>
      <c r="G70" s="2"/>
      <c r="H70" s="2"/>
      <c r="I70" s="2"/>
      <c r="J70" s="2"/>
      <c r="K70" s="2">
        <f>(E70-E68)*1000</f>
        <v>0.12199999946460593</v>
      </c>
      <c r="L70" s="2">
        <f>AVERAGE($K$4:$K$154)</f>
        <v>0.23511764699351795</v>
      </c>
    </row>
    <row r="71" spans="1:12" hidden="1" x14ac:dyDescent="0.3">
      <c r="A71" t="s">
        <v>0</v>
      </c>
      <c r="B71" t="s">
        <v>1</v>
      </c>
      <c r="C71" t="s">
        <v>2</v>
      </c>
      <c r="D71" t="s">
        <v>66</v>
      </c>
      <c r="E71" t="str">
        <f t="shared" si="1"/>
        <v>4184.282410</v>
      </c>
      <c r="F71" t="s">
        <v>3</v>
      </c>
    </row>
    <row r="72" spans="1:12" hidden="1" x14ac:dyDescent="0.3">
      <c r="A72" t="s">
        <v>0</v>
      </c>
      <c r="B72" t="s">
        <v>1</v>
      </c>
      <c r="C72" t="s">
        <v>2</v>
      </c>
      <c r="D72" t="s">
        <v>66</v>
      </c>
      <c r="E72" t="str">
        <f t="shared" si="1"/>
        <v>4184.282410</v>
      </c>
      <c r="F72" t="s">
        <v>4</v>
      </c>
    </row>
    <row r="73" spans="1:12" x14ac:dyDescent="0.3">
      <c r="A73" s="2" t="s">
        <v>12</v>
      </c>
      <c r="B73" s="2" t="s">
        <v>1</v>
      </c>
      <c r="C73" s="2" t="s">
        <v>5</v>
      </c>
      <c r="D73" s="2" t="s">
        <v>67</v>
      </c>
      <c r="E73" s="2" t="str">
        <f t="shared" si="1"/>
        <v>4184.282623</v>
      </c>
      <c r="F73" s="2" t="s">
        <v>14</v>
      </c>
      <c r="G73" s="2"/>
      <c r="H73" s="2"/>
      <c r="I73" s="2"/>
      <c r="J73" s="2"/>
      <c r="K73" s="2">
        <f>(E73-E71)*1000</f>
        <v>0.21300000025803456</v>
      </c>
      <c r="L73" s="2">
        <f>AVERAGE($K$4:$K$154)</f>
        <v>0.23511764699351795</v>
      </c>
    </row>
    <row r="74" spans="1:12" hidden="1" x14ac:dyDescent="0.3">
      <c r="A74" t="s">
        <v>0</v>
      </c>
      <c r="B74" t="s">
        <v>1</v>
      </c>
      <c r="C74" t="s">
        <v>2</v>
      </c>
      <c r="D74" t="s">
        <v>68</v>
      </c>
      <c r="E74" t="str">
        <f t="shared" si="1"/>
        <v>4184.741943</v>
      </c>
      <c r="F74" t="s">
        <v>3</v>
      </c>
    </row>
    <row r="75" spans="1:12" hidden="1" x14ac:dyDescent="0.3">
      <c r="A75" t="s">
        <v>0</v>
      </c>
      <c r="B75" t="s">
        <v>1</v>
      </c>
      <c r="C75" t="s">
        <v>2</v>
      </c>
      <c r="D75" t="s">
        <v>68</v>
      </c>
      <c r="E75" t="str">
        <f t="shared" si="1"/>
        <v>4184.741943</v>
      </c>
      <c r="F75" t="s">
        <v>4</v>
      </c>
    </row>
    <row r="76" spans="1:12" x14ac:dyDescent="0.3">
      <c r="A76" s="2" t="s">
        <v>12</v>
      </c>
      <c r="B76" s="2" t="s">
        <v>1</v>
      </c>
      <c r="C76" s="2" t="s">
        <v>5</v>
      </c>
      <c r="D76" s="2" t="s">
        <v>69</v>
      </c>
      <c r="E76" s="2" t="str">
        <f t="shared" si="1"/>
        <v>4184.742157</v>
      </c>
      <c r="F76" s="2" t="s">
        <v>14</v>
      </c>
      <c r="G76" s="2"/>
      <c r="H76" s="2"/>
      <c r="I76" s="2"/>
      <c r="J76" s="2"/>
      <c r="K76" s="2">
        <f>(E76-E74)*1000</f>
        <v>0.21399999968707561</v>
      </c>
      <c r="L76" s="2">
        <f>AVERAGE($K$4:$K$154)</f>
        <v>0.23511764699351795</v>
      </c>
    </row>
    <row r="77" spans="1:12" hidden="1" x14ac:dyDescent="0.3">
      <c r="A77" t="s">
        <v>0</v>
      </c>
      <c r="B77" t="s">
        <v>1</v>
      </c>
      <c r="C77" t="s">
        <v>2</v>
      </c>
      <c r="D77" t="s">
        <v>70</v>
      </c>
      <c r="E77" t="str">
        <f t="shared" si="1"/>
        <v>4185.225708</v>
      </c>
      <c r="F77" t="s">
        <v>3</v>
      </c>
    </row>
    <row r="78" spans="1:12" hidden="1" x14ac:dyDescent="0.3">
      <c r="A78" t="s">
        <v>0</v>
      </c>
      <c r="B78" t="s">
        <v>1</v>
      </c>
      <c r="C78" t="s">
        <v>2</v>
      </c>
      <c r="D78" t="s">
        <v>70</v>
      </c>
      <c r="E78" t="str">
        <f t="shared" si="1"/>
        <v>4185.225708</v>
      </c>
      <c r="F78" t="s">
        <v>4</v>
      </c>
    </row>
    <row r="79" spans="1:12" x14ac:dyDescent="0.3">
      <c r="A79" s="2" t="s">
        <v>12</v>
      </c>
      <c r="B79" s="2" t="s">
        <v>1</v>
      </c>
      <c r="C79" s="2" t="s">
        <v>5</v>
      </c>
      <c r="D79" s="2" t="s">
        <v>71</v>
      </c>
      <c r="E79" s="2" t="str">
        <f t="shared" si="1"/>
        <v>4185.225922</v>
      </c>
      <c r="F79" s="2" t="s">
        <v>14</v>
      </c>
      <c r="G79" s="2"/>
      <c r="H79" s="2"/>
      <c r="I79" s="2"/>
      <c r="J79" s="2"/>
      <c r="K79" s="2">
        <f>(E79-E77)*1000</f>
        <v>0.21399999968707561</v>
      </c>
      <c r="L79" s="2">
        <f>AVERAGE($K$4:$K$154)</f>
        <v>0.23511764699351795</v>
      </c>
    </row>
    <row r="80" spans="1:12" hidden="1" x14ac:dyDescent="0.3">
      <c r="A80" t="s">
        <v>0</v>
      </c>
      <c r="B80" t="s">
        <v>1</v>
      </c>
      <c r="C80" t="s">
        <v>2</v>
      </c>
      <c r="D80" t="s">
        <v>72</v>
      </c>
      <c r="E80" t="str">
        <f t="shared" si="1"/>
        <v>4185.712433</v>
      </c>
      <c r="F80" t="s">
        <v>3</v>
      </c>
    </row>
    <row r="81" spans="1:12" hidden="1" x14ac:dyDescent="0.3">
      <c r="A81" t="s">
        <v>0</v>
      </c>
      <c r="B81" t="s">
        <v>1</v>
      </c>
      <c r="C81" t="s">
        <v>2</v>
      </c>
      <c r="D81" t="s">
        <v>72</v>
      </c>
      <c r="E81" t="str">
        <f t="shared" si="1"/>
        <v>4185.712433</v>
      </c>
      <c r="F81" t="s">
        <v>4</v>
      </c>
    </row>
    <row r="82" spans="1:12" x14ac:dyDescent="0.3">
      <c r="A82" s="2" t="s">
        <v>12</v>
      </c>
      <c r="B82" s="2" t="s">
        <v>1</v>
      </c>
      <c r="C82" s="2" t="s">
        <v>5</v>
      </c>
      <c r="D82" s="2" t="s">
        <v>73</v>
      </c>
      <c r="E82" s="2" t="str">
        <f t="shared" si="1"/>
        <v>4185.712646</v>
      </c>
      <c r="F82" s="2" t="s">
        <v>14</v>
      </c>
      <c r="G82" s="2"/>
      <c r="H82" s="2"/>
      <c r="I82" s="2"/>
      <c r="J82" s="2"/>
      <c r="K82" s="2">
        <f>(E82-E80)*1000</f>
        <v>0.21300000025803456</v>
      </c>
      <c r="L82" s="2">
        <f>AVERAGE($K$4:$K$154)</f>
        <v>0.23511764699351795</v>
      </c>
    </row>
    <row r="83" spans="1:12" hidden="1" x14ac:dyDescent="0.3">
      <c r="A83" t="s">
        <v>0</v>
      </c>
      <c r="B83" t="s">
        <v>1</v>
      </c>
      <c r="C83" t="s">
        <v>2</v>
      </c>
      <c r="D83" t="s">
        <v>74</v>
      </c>
      <c r="E83" t="str">
        <f t="shared" si="1"/>
        <v>4186.149445</v>
      </c>
      <c r="F83" t="s">
        <v>3</v>
      </c>
    </row>
    <row r="84" spans="1:12" hidden="1" x14ac:dyDescent="0.3">
      <c r="A84" t="s">
        <v>0</v>
      </c>
      <c r="B84" t="s">
        <v>1</v>
      </c>
      <c r="C84" t="s">
        <v>2</v>
      </c>
      <c r="D84" t="s">
        <v>74</v>
      </c>
      <c r="E84" t="str">
        <f t="shared" si="1"/>
        <v>4186.149445</v>
      </c>
      <c r="F84" t="s">
        <v>4</v>
      </c>
    </row>
    <row r="85" spans="1:12" x14ac:dyDescent="0.3">
      <c r="A85" s="2" t="s">
        <v>12</v>
      </c>
      <c r="B85" s="2" t="s">
        <v>1</v>
      </c>
      <c r="C85" s="2" t="s">
        <v>5</v>
      </c>
      <c r="D85" s="2" t="s">
        <v>75</v>
      </c>
      <c r="E85" s="2" t="str">
        <f t="shared" si="1"/>
        <v>4186.149658</v>
      </c>
      <c r="F85" s="2" t="s">
        <v>14</v>
      </c>
      <c r="G85" s="2"/>
      <c r="H85" s="2"/>
      <c r="I85" s="2"/>
      <c r="J85" s="2"/>
      <c r="K85" s="2">
        <f>(E85-E83)*1000</f>
        <v>0.21300000025803456</v>
      </c>
      <c r="L85" s="2">
        <f>AVERAGE($K$4:$K$154)</f>
        <v>0.23511764699351795</v>
      </c>
    </row>
    <row r="86" spans="1:12" hidden="1" x14ac:dyDescent="0.3">
      <c r="A86" t="s">
        <v>0</v>
      </c>
      <c r="B86" t="s">
        <v>1</v>
      </c>
      <c r="C86" t="s">
        <v>2</v>
      </c>
      <c r="D86" t="s">
        <v>76</v>
      </c>
      <c r="E86" t="str">
        <f t="shared" si="1"/>
        <v>4186.633453</v>
      </c>
      <c r="F86" t="s">
        <v>3</v>
      </c>
    </row>
    <row r="87" spans="1:12" hidden="1" x14ac:dyDescent="0.3">
      <c r="A87" t="s">
        <v>0</v>
      </c>
      <c r="B87" t="s">
        <v>1</v>
      </c>
      <c r="C87" t="s">
        <v>2</v>
      </c>
      <c r="D87" t="s">
        <v>77</v>
      </c>
      <c r="E87" t="str">
        <f t="shared" si="1"/>
        <v>4186.633484</v>
      </c>
      <c r="F87" t="s">
        <v>4</v>
      </c>
    </row>
    <row r="88" spans="1:12" x14ac:dyDescent="0.3">
      <c r="A88" s="2" t="s">
        <v>12</v>
      </c>
      <c r="B88" s="2" t="s">
        <v>1</v>
      </c>
      <c r="C88" s="2" t="s">
        <v>5</v>
      </c>
      <c r="D88" s="2" t="s">
        <v>78</v>
      </c>
      <c r="E88" s="2" t="str">
        <f t="shared" si="1"/>
        <v>4186.633667</v>
      </c>
      <c r="F88" s="2" t="s">
        <v>14</v>
      </c>
      <c r="G88" s="2"/>
      <c r="H88" s="2"/>
      <c r="I88" s="2"/>
      <c r="J88" s="2"/>
      <c r="K88" s="2">
        <f>(E88-E86)*1000</f>
        <v>0.21399999968707561</v>
      </c>
      <c r="L88" s="2">
        <f>AVERAGE($K$4:$K$154)</f>
        <v>0.23511764699351795</v>
      </c>
    </row>
    <row r="89" spans="1:12" hidden="1" x14ac:dyDescent="0.3">
      <c r="A89" t="s">
        <v>0</v>
      </c>
      <c r="B89" t="s">
        <v>1</v>
      </c>
      <c r="C89" t="s">
        <v>2</v>
      </c>
      <c r="D89" t="s">
        <v>79</v>
      </c>
      <c r="E89" t="str">
        <f t="shared" si="1"/>
        <v>4187.067810</v>
      </c>
      <c r="F89" t="s">
        <v>3</v>
      </c>
    </row>
    <row r="90" spans="1:12" hidden="1" x14ac:dyDescent="0.3">
      <c r="A90" t="s">
        <v>0</v>
      </c>
      <c r="B90" t="s">
        <v>1</v>
      </c>
      <c r="C90" t="s">
        <v>2</v>
      </c>
      <c r="D90" t="s">
        <v>79</v>
      </c>
      <c r="E90" t="str">
        <f t="shared" si="1"/>
        <v>4187.067810</v>
      </c>
      <c r="F90" t="s">
        <v>4</v>
      </c>
    </row>
    <row r="91" spans="1:12" x14ac:dyDescent="0.3">
      <c r="A91" s="2" t="s">
        <v>12</v>
      </c>
      <c r="B91" s="2" t="s">
        <v>1</v>
      </c>
      <c r="C91" s="2" t="s">
        <v>5</v>
      </c>
      <c r="D91" s="2" t="s">
        <v>80</v>
      </c>
      <c r="E91" s="2" t="str">
        <f t="shared" si="1"/>
        <v>4187.068024</v>
      </c>
      <c r="F91" s="2" t="s">
        <v>14</v>
      </c>
      <c r="G91" s="2"/>
      <c r="H91" s="2"/>
      <c r="I91" s="2"/>
      <c r="J91" s="2"/>
      <c r="K91" s="2">
        <f>(E91-E89)*1000</f>
        <v>0.21400000059657032</v>
      </c>
      <c r="L91" s="2">
        <f>AVERAGE($K$4:$K$154)</f>
        <v>0.23511764699351795</v>
      </c>
    </row>
    <row r="92" spans="1:12" hidden="1" x14ac:dyDescent="0.3">
      <c r="A92" t="s">
        <v>81</v>
      </c>
      <c r="B92" t="s">
        <v>1</v>
      </c>
      <c r="C92" t="s">
        <v>6</v>
      </c>
      <c r="D92" t="s">
        <v>82</v>
      </c>
      <c r="E92" t="str">
        <f t="shared" si="1"/>
        <v>4187.538361</v>
      </c>
      <c r="F92" t="s">
        <v>3</v>
      </c>
    </row>
    <row r="93" spans="1:12" hidden="1" x14ac:dyDescent="0.3">
      <c r="A93" t="s">
        <v>81</v>
      </c>
      <c r="B93" t="s">
        <v>1</v>
      </c>
      <c r="C93" t="s">
        <v>6</v>
      </c>
      <c r="D93" t="s">
        <v>82</v>
      </c>
      <c r="E93" t="str">
        <f t="shared" si="1"/>
        <v>4187.538361</v>
      </c>
      <c r="F93" t="s">
        <v>4</v>
      </c>
    </row>
    <row r="94" spans="1:12" x14ac:dyDescent="0.3">
      <c r="A94" s="2" t="s">
        <v>12</v>
      </c>
      <c r="B94" s="2" t="s">
        <v>1</v>
      </c>
      <c r="C94" s="2" t="s">
        <v>5</v>
      </c>
      <c r="D94" s="2" t="s">
        <v>83</v>
      </c>
      <c r="E94" s="2" t="str">
        <f t="shared" si="1"/>
        <v>4187.538483</v>
      </c>
      <c r="F94" s="2" t="s">
        <v>14</v>
      </c>
      <c r="G94" s="2"/>
      <c r="H94" s="2"/>
      <c r="I94" s="2"/>
      <c r="J94" s="2"/>
      <c r="K94" s="2">
        <f>(E94-E92)*1000</f>
        <v>0.12200000037410064</v>
      </c>
      <c r="L94" s="2">
        <f>AVERAGE($K$4:$K$154)</f>
        <v>0.23511764699351795</v>
      </c>
    </row>
    <row r="95" spans="1:12" hidden="1" x14ac:dyDescent="0.3">
      <c r="A95" t="s">
        <v>0</v>
      </c>
      <c r="B95" t="s">
        <v>1</v>
      </c>
      <c r="C95" t="s">
        <v>2</v>
      </c>
      <c r="D95" t="s">
        <v>84</v>
      </c>
      <c r="E95" t="str">
        <f t="shared" si="1"/>
        <v>4188.005035</v>
      </c>
      <c r="F95" t="s">
        <v>3</v>
      </c>
    </row>
    <row r="96" spans="1:12" hidden="1" x14ac:dyDescent="0.3">
      <c r="A96" t="s">
        <v>0</v>
      </c>
      <c r="B96" t="s">
        <v>1</v>
      </c>
      <c r="C96" t="s">
        <v>2</v>
      </c>
      <c r="D96" t="s">
        <v>84</v>
      </c>
      <c r="E96" t="str">
        <f t="shared" si="1"/>
        <v>4188.005035</v>
      </c>
      <c r="F96" t="s">
        <v>4</v>
      </c>
    </row>
    <row r="97" spans="1:12" x14ac:dyDescent="0.3">
      <c r="A97" s="2" t="s">
        <v>12</v>
      </c>
      <c r="B97" s="2" t="s">
        <v>1</v>
      </c>
      <c r="C97" s="2" t="s">
        <v>5</v>
      </c>
      <c r="D97" s="2" t="s">
        <v>85</v>
      </c>
      <c r="E97" s="2" t="str">
        <f t="shared" si="1"/>
        <v>4188.005249</v>
      </c>
      <c r="F97" s="2" t="s">
        <v>14</v>
      </c>
      <c r="G97" s="2"/>
      <c r="H97" s="2"/>
      <c r="I97" s="2"/>
      <c r="J97" s="2"/>
      <c r="K97" s="2">
        <f>(E97-E95)*1000</f>
        <v>0.21399999968707561</v>
      </c>
      <c r="L97" s="2">
        <f>AVERAGE($K$4:$K$154)</f>
        <v>0.23511764699351795</v>
      </c>
    </row>
    <row r="98" spans="1:12" hidden="1" x14ac:dyDescent="0.3">
      <c r="A98" t="s">
        <v>0</v>
      </c>
      <c r="B98" t="s">
        <v>1</v>
      </c>
      <c r="C98" t="s">
        <v>2</v>
      </c>
      <c r="D98" t="s">
        <v>86</v>
      </c>
      <c r="E98" t="str">
        <f t="shared" si="1"/>
        <v>4188.468323</v>
      </c>
      <c r="F98" t="s">
        <v>3</v>
      </c>
    </row>
    <row r="99" spans="1:12" hidden="1" x14ac:dyDescent="0.3">
      <c r="A99" t="s">
        <v>0</v>
      </c>
      <c r="B99" t="s">
        <v>1</v>
      </c>
      <c r="C99" t="s">
        <v>2</v>
      </c>
      <c r="D99" t="s">
        <v>86</v>
      </c>
      <c r="E99" t="str">
        <f t="shared" si="1"/>
        <v>4188.468323</v>
      </c>
      <c r="F99" t="s">
        <v>4</v>
      </c>
    </row>
    <row r="100" spans="1:12" x14ac:dyDescent="0.3">
      <c r="A100" s="2" t="s">
        <v>12</v>
      </c>
      <c r="B100" s="2" t="s">
        <v>1</v>
      </c>
      <c r="C100" s="2" t="s">
        <v>5</v>
      </c>
      <c r="D100" s="2" t="s">
        <v>87</v>
      </c>
      <c r="E100" s="2" t="str">
        <f t="shared" si="1"/>
        <v>4188.468506</v>
      </c>
      <c r="F100" s="2" t="s">
        <v>14</v>
      </c>
      <c r="G100" s="2"/>
      <c r="H100" s="2"/>
      <c r="I100" s="2"/>
      <c r="J100" s="2"/>
      <c r="K100" s="2">
        <f>(E100-E98)*1000</f>
        <v>0.1830000001064036</v>
      </c>
      <c r="L100" s="2">
        <f>AVERAGE($K$4:$K$154)</f>
        <v>0.23511764699351795</v>
      </c>
    </row>
    <row r="101" spans="1:12" hidden="1" x14ac:dyDescent="0.3">
      <c r="A101" t="s">
        <v>0</v>
      </c>
      <c r="B101" t="s">
        <v>1</v>
      </c>
      <c r="C101" t="s">
        <v>2</v>
      </c>
      <c r="D101" t="s">
        <v>88</v>
      </c>
      <c r="E101" t="str">
        <f t="shared" si="1"/>
        <v>4188.947418</v>
      </c>
      <c r="F101" t="s">
        <v>3</v>
      </c>
    </row>
    <row r="102" spans="1:12" hidden="1" x14ac:dyDescent="0.3">
      <c r="A102" t="s">
        <v>0</v>
      </c>
      <c r="B102" t="s">
        <v>1</v>
      </c>
      <c r="C102" t="s">
        <v>2</v>
      </c>
      <c r="D102" t="s">
        <v>88</v>
      </c>
      <c r="E102" t="str">
        <f t="shared" si="1"/>
        <v>4188.947418</v>
      </c>
      <c r="F102" t="s">
        <v>4</v>
      </c>
    </row>
    <row r="103" spans="1:12" x14ac:dyDescent="0.3">
      <c r="A103" s="2" t="s">
        <v>12</v>
      </c>
      <c r="B103" s="2" t="s">
        <v>1</v>
      </c>
      <c r="C103" s="2" t="s">
        <v>5</v>
      </c>
      <c r="D103" s="2" t="s">
        <v>89</v>
      </c>
      <c r="E103" s="2" t="str">
        <f t="shared" si="1"/>
        <v>4188.947632</v>
      </c>
      <c r="F103" s="2" t="s">
        <v>14</v>
      </c>
      <c r="G103" s="2"/>
      <c r="H103" s="2"/>
      <c r="I103" s="2"/>
      <c r="J103" s="2"/>
      <c r="K103" s="2">
        <f>(E103-E101)*1000</f>
        <v>0.21400000059657032</v>
      </c>
      <c r="L103" s="2">
        <f>AVERAGE($K$4:$K$154)</f>
        <v>0.23511764699351795</v>
      </c>
    </row>
    <row r="104" spans="1:12" hidden="1" x14ac:dyDescent="0.3">
      <c r="A104" t="s">
        <v>0</v>
      </c>
      <c r="B104" t="s">
        <v>1</v>
      </c>
      <c r="C104" t="s">
        <v>2</v>
      </c>
      <c r="D104" t="s">
        <v>90</v>
      </c>
      <c r="E104" t="str">
        <f t="shared" si="1"/>
        <v>4189.411041</v>
      </c>
      <c r="F104" t="s">
        <v>3</v>
      </c>
    </row>
    <row r="105" spans="1:12" hidden="1" x14ac:dyDescent="0.3">
      <c r="A105" t="s">
        <v>0</v>
      </c>
      <c r="B105" t="s">
        <v>1</v>
      </c>
      <c r="C105" t="s">
        <v>2</v>
      </c>
      <c r="D105" t="s">
        <v>91</v>
      </c>
      <c r="E105" t="str">
        <f t="shared" si="1"/>
        <v>4189.411072</v>
      </c>
      <c r="F105" t="s">
        <v>4</v>
      </c>
    </row>
    <row r="106" spans="1:12" x14ac:dyDescent="0.3">
      <c r="A106" s="2" t="s">
        <v>12</v>
      </c>
      <c r="B106" s="2" t="s">
        <v>1</v>
      </c>
      <c r="C106" s="2" t="s">
        <v>5</v>
      </c>
      <c r="D106" s="2" t="s">
        <v>92</v>
      </c>
      <c r="E106" s="2" t="str">
        <f t="shared" si="1"/>
        <v>4189.411285</v>
      </c>
      <c r="F106" s="2" t="s">
        <v>14</v>
      </c>
      <c r="G106" s="2"/>
      <c r="H106" s="2"/>
      <c r="I106" s="2"/>
      <c r="J106" s="2"/>
      <c r="K106" s="2">
        <f>(E106-E104)*1000</f>
        <v>0.24399999983870657</v>
      </c>
      <c r="L106" s="2">
        <f>AVERAGE($K$4:$K$154)</f>
        <v>0.23511764699351795</v>
      </c>
    </row>
    <row r="107" spans="1:12" hidden="1" x14ac:dyDescent="0.3">
      <c r="A107" t="s">
        <v>0</v>
      </c>
      <c r="B107" t="s">
        <v>1</v>
      </c>
      <c r="C107" t="s">
        <v>2</v>
      </c>
      <c r="D107" t="s">
        <v>93</v>
      </c>
      <c r="E107" t="str">
        <f t="shared" si="1"/>
        <v>4189.896423</v>
      </c>
      <c r="F107" t="s">
        <v>3</v>
      </c>
    </row>
    <row r="108" spans="1:12" hidden="1" x14ac:dyDescent="0.3">
      <c r="A108" t="s">
        <v>0</v>
      </c>
      <c r="B108" t="s">
        <v>1</v>
      </c>
      <c r="C108" t="s">
        <v>2</v>
      </c>
      <c r="D108" t="s">
        <v>93</v>
      </c>
      <c r="E108" t="str">
        <f t="shared" si="1"/>
        <v>4189.896423</v>
      </c>
      <c r="F108" t="s">
        <v>4</v>
      </c>
    </row>
    <row r="109" spans="1:12" x14ac:dyDescent="0.3">
      <c r="A109" s="2" t="s">
        <v>12</v>
      </c>
      <c r="B109" s="2" t="s">
        <v>1</v>
      </c>
      <c r="C109" s="2" t="s">
        <v>5</v>
      </c>
      <c r="D109" s="2" t="s">
        <v>94</v>
      </c>
      <c r="E109" s="2" t="str">
        <f t="shared" si="1"/>
        <v>4189.896637</v>
      </c>
      <c r="F109" s="2" t="s">
        <v>14</v>
      </c>
      <c r="G109" s="2"/>
      <c r="H109" s="2"/>
      <c r="I109" s="2"/>
      <c r="J109" s="2"/>
      <c r="K109" s="2">
        <f>(E109-E107)*1000</f>
        <v>0.21399999968707561</v>
      </c>
      <c r="L109" s="2">
        <f>AVERAGE($K$4:$K$154)</f>
        <v>0.23511764699351795</v>
      </c>
    </row>
    <row r="110" spans="1:12" hidden="1" x14ac:dyDescent="0.3">
      <c r="A110" t="s">
        <v>0</v>
      </c>
      <c r="B110" t="s">
        <v>1</v>
      </c>
      <c r="C110" t="s">
        <v>2</v>
      </c>
      <c r="D110" t="s">
        <v>95</v>
      </c>
      <c r="E110" t="str">
        <f t="shared" si="1"/>
        <v>4190.444000</v>
      </c>
      <c r="F110" t="s">
        <v>3</v>
      </c>
    </row>
    <row r="111" spans="1:12" hidden="1" x14ac:dyDescent="0.3">
      <c r="A111" t="s">
        <v>0</v>
      </c>
      <c r="B111" t="s">
        <v>1</v>
      </c>
      <c r="C111" t="s">
        <v>2</v>
      </c>
      <c r="D111" t="s">
        <v>95</v>
      </c>
      <c r="E111" t="str">
        <f t="shared" si="1"/>
        <v>4190.444000</v>
      </c>
      <c r="F111" t="s">
        <v>4</v>
      </c>
    </row>
    <row r="112" spans="1:12" x14ac:dyDescent="0.3">
      <c r="A112" s="2" t="s">
        <v>12</v>
      </c>
      <c r="B112" s="2" t="s">
        <v>1</v>
      </c>
      <c r="C112" s="2" t="s">
        <v>5</v>
      </c>
      <c r="D112" s="2" t="s">
        <v>96</v>
      </c>
      <c r="E112" s="2" t="str">
        <f t="shared" si="1"/>
        <v>4190.444214</v>
      </c>
      <c r="F112" s="2" t="s">
        <v>14</v>
      </c>
      <c r="G112" s="2"/>
      <c r="H112" s="2"/>
      <c r="I112" s="2"/>
      <c r="J112" s="2"/>
      <c r="K112" s="2">
        <f>(E112-E110)*1000</f>
        <v>0.21399999968707561</v>
      </c>
      <c r="L112" s="2">
        <f>AVERAGE($K$4:$K$154)</f>
        <v>0.23511764699351795</v>
      </c>
    </row>
    <row r="113" spans="1:12" hidden="1" x14ac:dyDescent="0.3">
      <c r="A113" t="s">
        <v>0</v>
      </c>
      <c r="B113" t="s">
        <v>1</v>
      </c>
      <c r="C113" t="s">
        <v>2</v>
      </c>
      <c r="D113" t="s">
        <v>97</v>
      </c>
      <c r="E113" t="str">
        <f t="shared" si="1"/>
        <v>4190.928772</v>
      </c>
      <c r="F113" t="s">
        <v>3</v>
      </c>
    </row>
    <row r="114" spans="1:12" hidden="1" x14ac:dyDescent="0.3">
      <c r="A114" t="s">
        <v>0</v>
      </c>
      <c r="B114" t="s">
        <v>1</v>
      </c>
      <c r="C114" t="s">
        <v>2</v>
      </c>
      <c r="D114" t="s">
        <v>97</v>
      </c>
      <c r="E114" t="str">
        <f t="shared" si="1"/>
        <v>4190.928772</v>
      </c>
      <c r="F114" t="s">
        <v>4</v>
      </c>
    </row>
    <row r="115" spans="1:12" x14ac:dyDescent="0.3">
      <c r="A115" s="2" t="s">
        <v>12</v>
      </c>
      <c r="B115" s="2" t="s">
        <v>1</v>
      </c>
      <c r="C115" s="2" t="s">
        <v>5</v>
      </c>
      <c r="D115" s="2" t="s">
        <v>98</v>
      </c>
      <c r="E115" s="2" t="str">
        <f t="shared" si="1"/>
        <v>4190.929016</v>
      </c>
      <c r="F115" s="2" t="s">
        <v>14</v>
      </c>
      <c r="G115" s="2"/>
      <c r="H115" s="2"/>
      <c r="I115" s="2"/>
      <c r="J115" s="2"/>
      <c r="K115" s="2">
        <f>(E115-E113)*1000</f>
        <v>0.24399999983870657</v>
      </c>
      <c r="L115" s="2">
        <f>AVERAGE($K$4:$K$154)</f>
        <v>0.23511764699351795</v>
      </c>
    </row>
    <row r="116" spans="1:12" hidden="1" x14ac:dyDescent="0.3">
      <c r="A116" t="s">
        <v>0</v>
      </c>
      <c r="B116" t="s">
        <v>1</v>
      </c>
      <c r="C116" t="s">
        <v>2</v>
      </c>
      <c r="D116" t="s">
        <v>99</v>
      </c>
      <c r="E116" t="str">
        <f t="shared" si="1"/>
        <v>4191.404144</v>
      </c>
      <c r="F116" t="s">
        <v>3</v>
      </c>
    </row>
    <row r="117" spans="1:12" hidden="1" x14ac:dyDescent="0.3">
      <c r="A117" t="s">
        <v>0</v>
      </c>
      <c r="B117" t="s">
        <v>1</v>
      </c>
      <c r="C117" t="s">
        <v>2</v>
      </c>
      <c r="D117" t="s">
        <v>99</v>
      </c>
      <c r="E117" t="str">
        <f t="shared" si="1"/>
        <v>4191.404144</v>
      </c>
      <c r="F117" t="s">
        <v>4</v>
      </c>
    </row>
    <row r="118" spans="1:12" x14ac:dyDescent="0.3">
      <c r="A118" s="2" t="s">
        <v>12</v>
      </c>
      <c r="B118" s="2" t="s">
        <v>1</v>
      </c>
      <c r="C118" s="2" t="s">
        <v>5</v>
      </c>
      <c r="D118" s="2" t="s">
        <v>100</v>
      </c>
      <c r="E118" s="2" t="str">
        <f t="shared" si="1"/>
        <v>4191.404358</v>
      </c>
      <c r="F118" s="2" t="s">
        <v>14</v>
      </c>
      <c r="G118" s="2"/>
      <c r="H118" s="2"/>
      <c r="I118" s="2"/>
      <c r="J118" s="2"/>
      <c r="K118" s="2">
        <f>(E118-E116)*1000</f>
        <v>0.21399999968707561</v>
      </c>
      <c r="L118" s="2">
        <f>AVERAGE($K$4:$K$154)</f>
        <v>0.23511764699351795</v>
      </c>
    </row>
    <row r="119" spans="1:12" hidden="1" x14ac:dyDescent="0.3">
      <c r="A119" t="s">
        <v>0</v>
      </c>
      <c r="B119" t="s">
        <v>1</v>
      </c>
      <c r="C119" t="s">
        <v>2</v>
      </c>
      <c r="D119" t="s">
        <v>101</v>
      </c>
      <c r="E119" t="str">
        <f t="shared" si="1"/>
        <v>4191.891907</v>
      </c>
      <c r="F119" t="s">
        <v>3</v>
      </c>
    </row>
    <row r="120" spans="1:12" hidden="1" x14ac:dyDescent="0.3">
      <c r="A120" t="s">
        <v>0</v>
      </c>
      <c r="B120" t="s">
        <v>1</v>
      </c>
      <c r="C120" t="s">
        <v>2</v>
      </c>
      <c r="D120" t="s">
        <v>101</v>
      </c>
      <c r="E120" t="str">
        <f t="shared" si="1"/>
        <v>4191.891907</v>
      </c>
      <c r="F120" t="s">
        <v>4</v>
      </c>
    </row>
    <row r="121" spans="1:12" x14ac:dyDescent="0.3">
      <c r="A121" s="2" t="s">
        <v>12</v>
      </c>
      <c r="B121" s="2" t="s">
        <v>1</v>
      </c>
      <c r="C121" s="2" t="s">
        <v>5</v>
      </c>
      <c r="D121" s="2" t="s">
        <v>102</v>
      </c>
      <c r="E121" s="2" t="str">
        <f t="shared" si="1"/>
        <v>4191.892120</v>
      </c>
      <c r="F121" s="2" t="s">
        <v>14</v>
      </c>
      <c r="G121" s="2"/>
      <c r="H121" s="2"/>
      <c r="I121" s="2"/>
      <c r="J121" s="2"/>
      <c r="K121" s="2">
        <f>(E121-E119)*1000</f>
        <v>0.21300000025803456</v>
      </c>
      <c r="L121" s="2">
        <f>AVERAGE($K$4:$K$154)</f>
        <v>0.23511764699351795</v>
      </c>
    </row>
    <row r="122" spans="1:12" hidden="1" x14ac:dyDescent="0.3">
      <c r="A122" t="s">
        <v>0</v>
      </c>
      <c r="B122" t="s">
        <v>1</v>
      </c>
      <c r="C122" t="s">
        <v>2</v>
      </c>
      <c r="D122" t="s">
        <v>103</v>
      </c>
      <c r="E122" t="str">
        <f t="shared" si="1"/>
        <v>4192.365051</v>
      </c>
      <c r="F122" t="s">
        <v>3</v>
      </c>
    </row>
    <row r="123" spans="1:12" hidden="1" x14ac:dyDescent="0.3">
      <c r="A123" t="s">
        <v>0</v>
      </c>
      <c r="B123" t="s">
        <v>1</v>
      </c>
      <c r="C123" t="s">
        <v>2</v>
      </c>
      <c r="D123" t="s">
        <v>103</v>
      </c>
      <c r="E123" t="str">
        <f t="shared" si="1"/>
        <v>4192.365051</v>
      </c>
      <c r="F123" t="s">
        <v>4</v>
      </c>
    </row>
    <row r="124" spans="1:12" x14ac:dyDescent="0.3">
      <c r="A124" s="2" t="s">
        <v>12</v>
      </c>
      <c r="B124" s="2" t="s">
        <v>1</v>
      </c>
      <c r="C124" s="2" t="s">
        <v>5</v>
      </c>
      <c r="D124" s="2" t="s">
        <v>104</v>
      </c>
      <c r="E124" s="2" t="str">
        <f t="shared" si="1"/>
        <v>4192.365417</v>
      </c>
      <c r="F124" s="2" t="s">
        <v>14</v>
      </c>
      <c r="G124" s="2"/>
      <c r="H124" s="2"/>
      <c r="I124" s="2"/>
      <c r="J124" s="2"/>
      <c r="K124" s="2">
        <f>(E124-E122)*1000</f>
        <v>0.36600000021280721</v>
      </c>
      <c r="L124" s="2">
        <f>AVERAGE($K$4:$K$154)</f>
        <v>0.23511764699351795</v>
      </c>
    </row>
    <row r="125" spans="1:12" hidden="1" x14ac:dyDescent="0.3">
      <c r="A125" t="s">
        <v>0</v>
      </c>
      <c r="B125" t="s">
        <v>1</v>
      </c>
      <c r="C125" t="s">
        <v>2</v>
      </c>
      <c r="D125" t="s">
        <v>105</v>
      </c>
      <c r="E125" t="str">
        <f t="shared" si="1"/>
        <v>4192.886322</v>
      </c>
      <c r="F125" t="s">
        <v>3</v>
      </c>
    </row>
    <row r="126" spans="1:12" hidden="1" x14ac:dyDescent="0.3">
      <c r="A126" t="s">
        <v>0</v>
      </c>
      <c r="B126" t="s">
        <v>1</v>
      </c>
      <c r="C126" t="s">
        <v>2</v>
      </c>
      <c r="D126" t="s">
        <v>105</v>
      </c>
      <c r="E126" t="str">
        <f t="shared" si="1"/>
        <v>4192.886322</v>
      </c>
      <c r="F126" t="s">
        <v>4</v>
      </c>
    </row>
    <row r="127" spans="1:12" x14ac:dyDescent="0.3">
      <c r="A127" s="2" t="s">
        <v>12</v>
      </c>
      <c r="B127" s="2" t="s">
        <v>1</v>
      </c>
      <c r="C127" s="2" t="s">
        <v>5</v>
      </c>
      <c r="D127" s="2" t="s">
        <v>106</v>
      </c>
      <c r="E127" s="2" t="str">
        <f t="shared" si="1"/>
        <v>4192.886536</v>
      </c>
      <c r="F127" s="2" t="s">
        <v>14</v>
      </c>
      <c r="G127" s="2"/>
      <c r="H127" s="2"/>
      <c r="I127" s="2"/>
      <c r="J127" s="2"/>
      <c r="K127" s="2">
        <f>(E127-E125)*1000</f>
        <v>0.21399999968707561</v>
      </c>
      <c r="L127" s="2">
        <f>AVERAGE($K$4:$K$154)</f>
        <v>0.23511764699351795</v>
      </c>
    </row>
    <row r="128" spans="1:12" hidden="1" x14ac:dyDescent="0.3">
      <c r="A128" t="s">
        <v>0</v>
      </c>
      <c r="B128" t="s">
        <v>1</v>
      </c>
      <c r="C128" t="s">
        <v>2</v>
      </c>
      <c r="D128" t="s">
        <v>107</v>
      </c>
      <c r="E128" t="str">
        <f t="shared" si="1"/>
        <v>4193.361481</v>
      </c>
      <c r="F128" t="s">
        <v>3</v>
      </c>
    </row>
    <row r="129" spans="1:12" hidden="1" x14ac:dyDescent="0.3">
      <c r="A129" t="s">
        <v>0</v>
      </c>
      <c r="B129" t="s">
        <v>1</v>
      </c>
      <c r="C129" t="s">
        <v>2</v>
      </c>
      <c r="D129" t="s">
        <v>107</v>
      </c>
      <c r="E129" t="str">
        <f t="shared" si="1"/>
        <v>4193.361481</v>
      </c>
      <c r="F129" t="s">
        <v>4</v>
      </c>
    </row>
    <row r="130" spans="1:12" x14ac:dyDescent="0.3">
      <c r="A130" s="2" t="s">
        <v>12</v>
      </c>
      <c r="B130" s="2" t="s">
        <v>1</v>
      </c>
      <c r="C130" s="2" t="s">
        <v>5</v>
      </c>
      <c r="D130" s="2" t="s">
        <v>108</v>
      </c>
      <c r="E130" s="2" t="str">
        <f t="shared" si="1"/>
        <v>4193.361755</v>
      </c>
      <c r="F130" s="2" t="s">
        <v>14</v>
      </c>
      <c r="G130" s="2"/>
      <c r="H130" s="2"/>
      <c r="I130" s="2"/>
      <c r="J130" s="2"/>
      <c r="K130" s="2">
        <f>(E130-E128)*1000</f>
        <v>0.27399999999033753</v>
      </c>
      <c r="L130" s="2">
        <f>AVERAGE($K$4:$K$154)</f>
        <v>0.23511764699351795</v>
      </c>
    </row>
    <row r="131" spans="1:12" hidden="1" x14ac:dyDescent="0.3">
      <c r="A131" t="s">
        <v>0</v>
      </c>
      <c r="B131" t="s">
        <v>1</v>
      </c>
      <c r="C131" t="s">
        <v>2</v>
      </c>
      <c r="D131" t="s">
        <v>109</v>
      </c>
      <c r="E131" t="str">
        <f t="shared" ref="E131:E154" si="2" xml:space="preserve"> LEFT(D131, FIND(":",D131)-1)</f>
        <v>4193.832764</v>
      </c>
      <c r="F131" t="s">
        <v>3</v>
      </c>
    </row>
    <row r="132" spans="1:12" hidden="1" x14ac:dyDescent="0.3">
      <c r="A132" t="s">
        <v>0</v>
      </c>
      <c r="B132" t="s">
        <v>1</v>
      </c>
      <c r="C132" t="s">
        <v>2</v>
      </c>
      <c r="D132" t="s">
        <v>109</v>
      </c>
      <c r="E132" t="str">
        <f t="shared" si="2"/>
        <v>4193.832764</v>
      </c>
      <c r="F132" t="s">
        <v>4</v>
      </c>
    </row>
    <row r="133" spans="1:12" x14ac:dyDescent="0.3">
      <c r="A133" s="2" t="s">
        <v>12</v>
      </c>
      <c r="B133" s="2" t="s">
        <v>1</v>
      </c>
      <c r="C133" s="2" t="s">
        <v>5</v>
      </c>
      <c r="D133" s="2" t="s">
        <v>110</v>
      </c>
      <c r="E133" s="2" t="str">
        <f t="shared" si="2"/>
        <v>4193.832947</v>
      </c>
      <c r="F133" s="2" t="s">
        <v>14</v>
      </c>
      <c r="G133" s="2"/>
      <c r="H133" s="2"/>
      <c r="I133" s="2"/>
      <c r="J133" s="2"/>
      <c r="K133" s="2">
        <f>(E133-E131)*1000</f>
        <v>0.1830000001064036</v>
      </c>
      <c r="L133" s="2">
        <f>AVERAGE($K$4:$K$154)</f>
        <v>0.23511764699351795</v>
      </c>
    </row>
    <row r="134" spans="1:12" hidden="1" x14ac:dyDescent="0.3">
      <c r="A134" t="s">
        <v>63</v>
      </c>
      <c r="B134" t="s">
        <v>1</v>
      </c>
      <c r="C134" t="s">
        <v>6</v>
      </c>
      <c r="D134" t="s">
        <v>111</v>
      </c>
      <c r="E134" t="str">
        <f t="shared" si="2"/>
        <v>4194.308502</v>
      </c>
      <c r="F134" t="s">
        <v>3</v>
      </c>
    </row>
    <row r="135" spans="1:12" hidden="1" x14ac:dyDescent="0.3">
      <c r="A135" t="s">
        <v>63</v>
      </c>
      <c r="B135" t="s">
        <v>1</v>
      </c>
      <c r="C135" t="s">
        <v>6</v>
      </c>
      <c r="D135" t="s">
        <v>111</v>
      </c>
      <c r="E135" t="str">
        <f t="shared" si="2"/>
        <v>4194.308502</v>
      </c>
      <c r="F135" t="s">
        <v>4</v>
      </c>
    </row>
    <row r="136" spans="1:12" x14ac:dyDescent="0.3">
      <c r="A136" s="2" t="s">
        <v>12</v>
      </c>
      <c r="B136" s="2" t="s">
        <v>1</v>
      </c>
      <c r="C136" s="2" t="s">
        <v>5</v>
      </c>
      <c r="D136" s="2" t="s">
        <v>112</v>
      </c>
      <c r="E136" s="2" t="str">
        <f t="shared" si="2"/>
        <v>4194.308655</v>
      </c>
      <c r="F136" s="2" t="s">
        <v>14</v>
      </c>
      <c r="G136" s="2"/>
      <c r="H136" s="2"/>
      <c r="I136" s="2"/>
      <c r="J136" s="2"/>
      <c r="K136" s="2">
        <f>(E136-E134)*1000</f>
        <v>0.15299999995477265</v>
      </c>
      <c r="L136" s="2">
        <f>AVERAGE($K$4:$K$154)</f>
        <v>0.23511764699351795</v>
      </c>
    </row>
    <row r="137" spans="1:12" hidden="1" x14ac:dyDescent="0.3">
      <c r="A137" t="s">
        <v>0</v>
      </c>
      <c r="B137" t="s">
        <v>1</v>
      </c>
      <c r="C137" t="s">
        <v>2</v>
      </c>
      <c r="D137" t="s">
        <v>113</v>
      </c>
      <c r="E137" t="str">
        <f t="shared" si="2"/>
        <v>4194.770813</v>
      </c>
      <c r="F137" t="s">
        <v>3</v>
      </c>
    </row>
    <row r="138" spans="1:12" hidden="1" x14ac:dyDescent="0.3">
      <c r="A138" t="s">
        <v>0</v>
      </c>
      <c r="B138" t="s">
        <v>1</v>
      </c>
      <c r="C138" t="s">
        <v>2</v>
      </c>
      <c r="D138" t="s">
        <v>113</v>
      </c>
      <c r="E138" t="str">
        <f t="shared" si="2"/>
        <v>4194.770813</v>
      </c>
      <c r="F138" t="s">
        <v>4</v>
      </c>
    </row>
    <row r="139" spans="1:12" x14ac:dyDescent="0.3">
      <c r="A139" s="2" t="s">
        <v>12</v>
      </c>
      <c r="B139" s="2" t="s">
        <v>1</v>
      </c>
      <c r="C139" s="2" t="s">
        <v>5</v>
      </c>
      <c r="D139" s="2" t="s">
        <v>114</v>
      </c>
      <c r="E139" s="2" t="str">
        <f t="shared" si="2"/>
        <v>4194.771027</v>
      </c>
      <c r="F139" s="2" t="s">
        <v>14</v>
      </c>
      <c r="G139" s="2"/>
      <c r="H139" s="2"/>
      <c r="I139" s="2"/>
      <c r="J139" s="2"/>
      <c r="K139" s="2">
        <f>(E139-E137)*1000</f>
        <v>0.21399999968707561</v>
      </c>
      <c r="L139" s="2">
        <f>AVERAGE($K$4:$K$154)</f>
        <v>0.23511764699351795</v>
      </c>
    </row>
    <row r="140" spans="1:12" hidden="1" x14ac:dyDescent="0.3">
      <c r="A140" t="s">
        <v>0</v>
      </c>
      <c r="B140" t="s">
        <v>1</v>
      </c>
      <c r="C140" t="s">
        <v>2</v>
      </c>
      <c r="D140" t="s">
        <v>115</v>
      </c>
      <c r="E140" t="str">
        <f t="shared" si="2"/>
        <v>4195.241882</v>
      </c>
      <c r="F140" t="s">
        <v>3</v>
      </c>
    </row>
    <row r="141" spans="1:12" hidden="1" x14ac:dyDescent="0.3">
      <c r="A141" t="s">
        <v>0</v>
      </c>
      <c r="B141" t="s">
        <v>1</v>
      </c>
      <c r="C141" t="s">
        <v>2</v>
      </c>
      <c r="D141" t="s">
        <v>115</v>
      </c>
      <c r="E141" t="str">
        <f t="shared" si="2"/>
        <v>4195.241882</v>
      </c>
      <c r="F141" t="s">
        <v>4</v>
      </c>
    </row>
    <row r="142" spans="1:12" x14ac:dyDescent="0.3">
      <c r="A142" s="2" t="s">
        <v>12</v>
      </c>
      <c r="B142" s="2" t="s">
        <v>1</v>
      </c>
      <c r="C142" s="2" t="s">
        <v>5</v>
      </c>
      <c r="D142" s="2" t="s">
        <v>116</v>
      </c>
      <c r="E142" s="2" t="str">
        <f t="shared" si="2"/>
        <v>4195.242096</v>
      </c>
      <c r="F142" s="2" t="s">
        <v>14</v>
      </c>
      <c r="G142" s="2"/>
      <c r="H142" s="2"/>
      <c r="I142" s="2"/>
      <c r="J142" s="2"/>
      <c r="K142" s="2">
        <f>(E142-E140)*1000</f>
        <v>0.21399999968707561</v>
      </c>
      <c r="L142" s="2">
        <f>AVERAGE($K$4:$K$154)</f>
        <v>0.23511764699351795</v>
      </c>
    </row>
    <row r="143" spans="1:12" hidden="1" x14ac:dyDescent="0.3">
      <c r="A143" t="s">
        <v>0</v>
      </c>
      <c r="B143" t="s">
        <v>1</v>
      </c>
      <c r="C143" t="s">
        <v>2</v>
      </c>
      <c r="D143" t="s">
        <v>117</v>
      </c>
      <c r="E143" t="str">
        <f t="shared" si="2"/>
        <v>4195.703369</v>
      </c>
      <c r="F143" t="s">
        <v>3</v>
      </c>
    </row>
    <row r="144" spans="1:12" hidden="1" x14ac:dyDescent="0.3">
      <c r="A144" t="s">
        <v>0</v>
      </c>
      <c r="B144" t="s">
        <v>1</v>
      </c>
      <c r="C144" t="s">
        <v>2</v>
      </c>
      <c r="D144" t="s">
        <v>118</v>
      </c>
      <c r="E144" t="str">
        <f t="shared" si="2"/>
        <v>4195.703400</v>
      </c>
      <c r="F144" t="s">
        <v>4</v>
      </c>
    </row>
    <row r="145" spans="1:12" x14ac:dyDescent="0.3">
      <c r="A145" s="2" t="s">
        <v>12</v>
      </c>
      <c r="B145" s="2" t="s">
        <v>1</v>
      </c>
      <c r="C145" s="2" t="s">
        <v>5</v>
      </c>
      <c r="D145" s="2" t="s">
        <v>119</v>
      </c>
      <c r="E145" s="2" t="str">
        <f t="shared" si="2"/>
        <v>4195.703613</v>
      </c>
      <c r="F145" s="2" t="s">
        <v>14</v>
      </c>
      <c r="G145" s="2"/>
      <c r="H145" s="2"/>
      <c r="I145" s="2"/>
      <c r="J145" s="2"/>
      <c r="K145" s="2">
        <f>(E145-E143)*1000</f>
        <v>0.24399999983870657</v>
      </c>
      <c r="L145" s="2">
        <f>AVERAGE($K$4:$K$154)</f>
        <v>0.23511764699351795</v>
      </c>
    </row>
    <row r="146" spans="1:12" hidden="1" x14ac:dyDescent="0.3">
      <c r="A146" t="s">
        <v>0</v>
      </c>
      <c r="B146" t="s">
        <v>1</v>
      </c>
      <c r="C146" t="s">
        <v>2</v>
      </c>
      <c r="D146" t="s">
        <v>120</v>
      </c>
      <c r="E146" t="str">
        <f t="shared" si="2"/>
        <v>4196.209015</v>
      </c>
      <c r="F146" t="s">
        <v>3</v>
      </c>
    </row>
    <row r="147" spans="1:12" hidden="1" x14ac:dyDescent="0.3">
      <c r="A147" t="s">
        <v>0</v>
      </c>
      <c r="B147" t="s">
        <v>1</v>
      </c>
      <c r="C147" t="s">
        <v>2</v>
      </c>
      <c r="D147" t="s">
        <v>120</v>
      </c>
      <c r="E147" t="str">
        <f t="shared" si="2"/>
        <v>4196.209015</v>
      </c>
      <c r="F147" t="s">
        <v>4</v>
      </c>
    </row>
    <row r="148" spans="1:12" x14ac:dyDescent="0.3">
      <c r="A148" s="2" t="s">
        <v>12</v>
      </c>
      <c r="B148" s="2" t="s">
        <v>1</v>
      </c>
      <c r="C148" s="2" t="s">
        <v>5</v>
      </c>
      <c r="D148" s="2" t="s">
        <v>121</v>
      </c>
      <c r="E148" s="2" t="str">
        <f t="shared" si="2"/>
        <v>4196.209259</v>
      </c>
      <c r="F148" s="2" t="s">
        <v>14</v>
      </c>
      <c r="G148" s="2"/>
      <c r="H148" s="2"/>
      <c r="I148" s="2"/>
      <c r="J148" s="2"/>
      <c r="K148" s="2">
        <f>(E148-E146)*1000</f>
        <v>0.24399999983870657</v>
      </c>
      <c r="L148" s="2">
        <f>AVERAGE($K$4:$K$154)</f>
        <v>0.23511764699351795</v>
      </c>
    </row>
    <row r="149" spans="1:12" hidden="1" x14ac:dyDescent="0.3">
      <c r="A149" t="s">
        <v>0</v>
      </c>
      <c r="B149" t="s">
        <v>1</v>
      </c>
      <c r="C149" t="s">
        <v>2</v>
      </c>
      <c r="D149" t="s">
        <v>122</v>
      </c>
      <c r="E149" t="str">
        <f t="shared" si="2"/>
        <v>4196.656342</v>
      </c>
      <c r="F149" t="s">
        <v>3</v>
      </c>
    </row>
    <row r="150" spans="1:12" hidden="1" x14ac:dyDescent="0.3">
      <c r="A150" t="s">
        <v>0</v>
      </c>
      <c r="B150" t="s">
        <v>1</v>
      </c>
      <c r="C150" t="s">
        <v>2</v>
      </c>
      <c r="D150" t="s">
        <v>122</v>
      </c>
      <c r="E150" t="str">
        <f t="shared" si="2"/>
        <v>4196.656342</v>
      </c>
      <c r="F150" t="s">
        <v>4</v>
      </c>
    </row>
    <row r="151" spans="1:12" x14ac:dyDescent="0.3">
      <c r="A151" s="2" t="s">
        <v>12</v>
      </c>
      <c r="B151" s="2" t="s">
        <v>1</v>
      </c>
      <c r="C151" s="2" t="s">
        <v>5</v>
      </c>
      <c r="D151" s="2" t="s">
        <v>123</v>
      </c>
      <c r="E151" s="2" t="str">
        <f t="shared" si="2"/>
        <v>4196.656555</v>
      </c>
      <c r="F151" s="2" t="s">
        <v>14</v>
      </c>
      <c r="G151" s="2"/>
      <c r="H151" s="2"/>
      <c r="I151" s="2"/>
      <c r="J151" s="2"/>
      <c r="K151" s="2">
        <f>(E151-E149)*1000</f>
        <v>0.21299999934853986</v>
      </c>
      <c r="L151" s="2">
        <f>AVERAGE($K$4:$K$154)</f>
        <v>0.23511764699351795</v>
      </c>
    </row>
    <row r="152" spans="1:12" hidden="1" x14ac:dyDescent="0.3">
      <c r="A152" t="s">
        <v>0</v>
      </c>
      <c r="B152" t="s">
        <v>1</v>
      </c>
      <c r="C152" t="s">
        <v>2</v>
      </c>
      <c r="D152" t="s">
        <v>124</v>
      </c>
      <c r="E152" t="str">
        <f t="shared" si="2"/>
        <v>4197.096161</v>
      </c>
      <c r="F152" t="s">
        <v>3</v>
      </c>
    </row>
    <row r="153" spans="1:12" hidden="1" x14ac:dyDescent="0.3">
      <c r="A153" t="s">
        <v>0</v>
      </c>
      <c r="B153" t="s">
        <v>1</v>
      </c>
      <c r="C153" t="s">
        <v>2</v>
      </c>
      <c r="D153" t="s">
        <v>124</v>
      </c>
      <c r="E153" t="str">
        <f t="shared" si="2"/>
        <v>4197.096161</v>
      </c>
      <c r="F153" t="s">
        <v>4</v>
      </c>
    </row>
    <row r="154" spans="1:12" x14ac:dyDescent="0.3">
      <c r="A154" s="2" t="s">
        <v>12</v>
      </c>
      <c r="B154" s="2" t="s">
        <v>1</v>
      </c>
      <c r="C154" s="2" t="s">
        <v>5</v>
      </c>
      <c r="D154" s="2" t="s">
        <v>125</v>
      </c>
      <c r="E154" s="2" t="str">
        <f t="shared" si="2"/>
        <v>4197.096436</v>
      </c>
      <c r="F154" s="2" t="s">
        <v>14</v>
      </c>
      <c r="G154" s="2"/>
      <c r="H154" s="2"/>
      <c r="I154" s="2"/>
      <c r="J154" s="2"/>
      <c r="K154" s="2">
        <f>(E154-E152)*1000</f>
        <v>0.27499999941937858</v>
      </c>
      <c r="L154" s="2">
        <f>AVERAGE($K$4:$K$154)</f>
        <v>0.23511764699351795</v>
      </c>
    </row>
    <row r="155" spans="1:12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</sheetData>
  <autoFilter ref="A1:F154" xr:uid="{397BFE14-A64D-4D88-B469-11D4DE244766}">
    <filterColumn colId="5">
      <filters>
        <filter val="gpio_demo_threaded_isr &lt;-irq_thread_fn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simsim</dc:creator>
  <cp:lastModifiedBy>simsim</cp:lastModifiedBy>
  <dcterms:created xsi:type="dcterms:W3CDTF">2026-08-02T03:52:19Z</dcterms:created>
  <dcterms:modified xsi:type="dcterms:W3CDTF">2026-08-02T08:31:29Z</dcterms:modified>
</cp:coreProperties>
</file>